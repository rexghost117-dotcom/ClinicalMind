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ntes del equipo" sheetId="1" r:id="rId4"/>
    <sheet state="hidden" name="Enero" sheetId="2" r:id="rId5"/>
    <sheet state="hidden" name="Febrero" sheetId="3" r:id="rId6"/>
    <sheet state="hidden" name="Marzo" sheetId="4" r:id="rId7"/>
    <sheet state="hidden" name="Abril" sheetId="5" r:id="rId8"/>
    <sheet state="hidden" name="Mayo" sheetId="6" r:id="rId9"/>
    <sheet state="hidden" name="Junio" sheetId="7" r:id="rId10"/>
    <sheet state="hidden" name="Julio" sheetId="8" r:id="rId11"/>
    <sheet state="hidden" name="Agosto" sheetId="9" r:id="rId12"/>
    <sheet state="hidden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name="KeyCustom2Label">Enero!$U$4</definedName>
    <definedName localSheetId="2" name="MonthName">Febrero!$B$2</definedName>
    <definedName localSheetId="11" name="MonthName">Noviembre!$B$2</definedName>
    <definedName name="KeyPersonal">Enero!$G$4</definedName>
    <definedName name="KeyCustom1Label">Enero!$P$4</definedName>
    <definedName localSheetId="6" name="MonthName">Junio!$B$2</definedName>
    <definedName localSheetId="9" name="MonthName">Septiembre!$B$2</definedName>
    <definedName localSheetId="4" name="MonthName">Abril!$B$2</definedName>
    <definedName localSheetId="5" name="MonthName">Mayo!$B$4</definedName>
    <definedName name="Employee_Absence_Title">Enero!$B$1</definedName>
    <definedName localSheetId="12" name="MonthName">Diciembre!$B$2</definedName>
    <definedName localSheetId="7" name="MonthName">Julio!$B$2</definedName>
    <definedName name="Key_name">Enero!$B$4</definedName>
    <definedName name="KeyVacationLabel">Enero!$D$4</definedName>
    <definedName localSheetId="1" name="MonthName">Enero!$B$2</definedName>
    <definedName name="CalendarYear">Enero!$AH$6</definedName>
    <definedName name="KeySick">Enero!$K$4</definedName>
    <definedName name="KeyVacation">Enero!$C$4</definedName>
    <definedName localSheetId="3" name="MonthName">Marzo!$B$2</definedName>
    <definedName localSheetId="10" name="MonthName">Octubre!$B$2</definedName>
    <definedName name="KeySickLabel">Enero!$L$4</definedName>
    <definedName name="KeyCustom2">Enero!$T$4</definedName>
    <definedName name="KeyPersonalLabel">Enero!$H$4</definedName>
    <definedName name="KeyCustom1">Enero!$O$4</definedName>
    <definedName localSheetId="8" name="MonthName">Agosto!$B$2</definedName>
  </definedNames>
  <calcPr/>
</workbook>
</file>

<file path=xl/sharedStrings.xml><?xml version="1.0" encoding="utf-8"?>
<sst xmlns="http://schemas.openxmlformats.org/spreadsheetml/2006/main" count="1167" uniqueCount="66">
  <si>
    <t>Equipo de ClinicalMind</t>
  </si>
  <si>
    <t>Nombre de los integrantes del equipo</t>
  </si>
  <si>
    <t>Alan Martin Bracamonte Dzib</t>
  </si>
  <si>
    <t>Angel Jafet Puc Uch</t>
  </si>
  <si>
    <t>Ingrid Abigail Can Catzin</t>
  </si>
  <si>
    <t>Alejandro Emmanuel Quintal Moo</t>
  </si>
  <si>
    <t>Maximiliano Montoya De La Cruz</t>
  </si>
  <si>
    <t>Cronograma de manejo de sprints</t>
  </si>
  <si>
    <t>Enero</t>
  </si>
  <si>
    <t xml:space="preserve">Claves </t>
  </si>
  <si>
    <t>F</t>
  </si>
  <si>
    <t>Fin de semana</t>
  </si>
  <si>
    <t>P</t>
  </si>
  <si>
    <t>Pausa</t>
  </si>
  <si>
    <t>Personalizado</t>
  </si>
  <si>
    <t>Horas trabajadas por dia de los sprints</t>
  </si>
  <si>
    <t>Nombre de los integrantes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</si>
  <si>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</si>
  <si>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</si>
  <si>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</si>
  <si>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</si>
  <si>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</si>
  <si>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</si>
  <si>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</si>
  <si>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</si>
  <si>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</si>
  <si>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</si>
  <si>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</si>
  <si>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</si>
  <si>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</si>
  <si>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</si>
  <si>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</si>
  <si>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</si>
  <si>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</si>
  <si>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</si>
  <si>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</si>
  <si>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</si>
  <si>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</si>
  <si>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</si>
  <si>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</si>
  <si>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</si>
  <si>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</si>
  <si>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</si>
  <si>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</si>
  <si>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</si>
  <si>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</si>
  <si>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</si>
  <si>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</si>
  <si>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 de días</t>
  </si>
  <si>
    <t>Numero de sprint</t>
  </si>
  <si>
    <t>Febrero</t>
  </si>
  <si>
    <t xml:space="preserve"> </t>
  </si>
  <si>
    <t xml:space="preserve">  </t>
  </si>
  <si>
    <t>Marzo</t>
  </si>
  <si>
    <t>Abril</t>
  </si>
  <si>
    <t>Mayo</t>
  </si>
  <si>
    <t>Junio</t>
  </si>
  <si>
    <t>Julio</t>
  </si>
  <si>
    <t>Agosto</t>
  </si>
  <si>
    <t>Septiembre</t>
  </si>
  <si>
    <t>Total de horas</t>
  </si>
  <si>
    <t>Octubre</t>
  </si>
  <si>
    <t>Noviembre</t>
  </si>
  <si>
    <t>Diciembre</t>
  </si>
  <si>
    <t>Fechas de los sprints</t>
  </si>
  <si>
    <t>Nombre de los integrante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</si>
</sst>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0;"/>
  </numFmts>
  <fonts count="15">
    <font>
      <sz val="11.0"/>
      <color/>
      <name val="Arial"/>
      <scheme val="minor"/>
    </font>
    <font>
      <b/>
      <sz val="18.0"/>
      <color rgb="FF44546A"/>
      <name val="Calibri"/>
    </font>
    <font/>
    <font>
      <sz val="11.0"/>
      <color rgb="FF000000"/>
      <name val="Calibri"/>
    </font>
    <font>
      <sz val="11.0"/>
      <color/>
      <name val="Calibri"/>
    </font>
    <font>
      <b/>
      <sz val="18.0"/>
      <color rgb="FF2B6142"/>
      <name val="Calibri"/>
    </font>
    <font>
      <b/>
      <sz val="72.0"/>
      <color rgb="FF4E84D8"/>
      <name val="Calibri"/>
    </font>
    <font>
      <b/>
      <sz val="26.0"/>
      <color rgb="FF44546A"/>
      <name val="Calibri"/>
    </font>
    <font>
      <b/>
      <sz val="11.0"/>
      <color/>
      <name val="Calibri"/>
    </font>
    <font>
      <b/>
      <sz val="11.0"/>
      <name val="Calibri"/>
    </font>
    <font>
      <sz val="11.0"/>
      <color rgb="FF0F2217"/>
      <name val="Calibri"/>
    </font>
    <font>
      <b/>
      <sz val="18.0"/>
      <color rgb="FF173323"/>
      <name val="Calibri"/>
    </font>
    <font>
      <b/>
      <sz val="72.0"/>
      <color rgb="FF3E8B5F"/>
      <name val="Calibri"/>
    </font>
    <font>
      <b/>
      <sz val="72.0"/>
      <color rgb="FF8D54E5"/>
      <name val="Calibri"/>
    </font>
    <font>
      <b/>
      <sz val="72.0"/>
      <color rgb="FFAE7C23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4E84D8"/>
        <bgColor rgb="FF4E84D8"/>
      </patternFill>
    </fill>
    <fill>
      <patternFill patternType="solid">
        <fgColor rgb="FFEFD9B2"/>
        <bgColor rgb="FFEFD9B2"/>
      </patternFill>
    </fill>
  </fills>
  <borders count="6">
    <border/>
    <border>
      <top style="thin">
        <color/>
      </top>
    </border>
    <border>
      <top style="thin">
        <color rgb="FF000000"/>
      </top>
    </border>
    <border>
      <left/>
      <right/>
      <top/>
      <bottom/>
    </border>
    <border>
      <bottom style="thin">
        <color rgb="FF000000"/>
      </bottom>
    </border>
    <border>
      <bottom style="thin">
        <color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6" numFmtId="0" xfId="0" applyAlignment="1" applyFont="1">
      <alignment horizontal="left" vertical="top"/>
    </xf>
    <xf borderId="1" fillId="0" fontId="7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bottom"/>
    </xf>
    <xf borderId="0" fillId="0" fontId="8" numFmtId="0" xfId="0" applyAlignment="1" applyFont="1">
      <alignment horizontal="left" vertical="center"/>
    </xf>
    <xf borderId="3" fillId="2" fontId="9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3" fillId="3" fontId="9" numFmtId="0" xfId="0" applyAlignment="1" applyBorder="1" applyFill="1" applyFont="1">
      <alignment horizontal="center" vertical="center"/>
    </xf>
    <xf borderId="3" fillId="4" fontId="9" numFmtId="0" xfId="0" applyAlignment="1" applyBorder="1" applyFill="1" applyFont="1">
      <alignment horizontal="center" vertical="center"/>
    </xf>
    <xf borderId="3" fillId="5" fontId="8" numFmtId="164" xfId="0" applyAlignment="1" applyBorder="1" applyFill="1" applyFont="1" applyNumberFormat="1">
      <alignment horizontal="center" vertical="center"/>
    </xf>
    <xf borderId="3" fillId="0" fontId="8" numFmtId="16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left" vertical="top"/>
    </xf>
    <xf borderId="1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0" fillId="0" fontId="12" numFmtId="0" xfId="0" applyAlignment="1" applyFont="1">
      <alignment horizontal="left" vertical="top"/>
    </xf>
    <xf borderId="0" fillId="0" fontId="12" numFmtId="0" xfId="0" applyAlignment="1" applyFont="1">
      <alignment horizontal="left" vertical="top"/>
    </xf>
    <xf borderId="0" fillId="0" fontId="13" numFmtId="0" xfId="0" applyAlignment="1" applyFont="1">
      <alignment horizontal="left" vertical="top"/>
    </xf>
    <xf borderId="0" fillId="0" fontId="13" numFmtId="0" xfId="0" applyAlignment="1" applyFont="1">
      <alignment horizontal="left" vertical="top"/>
    </xf>
    <xf borderId="0" fillId="0" fontId="14" numFmtId="0" xfId="0" applyAlignment="1" applyFont="1">
      <alignment horizontal="left" vertical="top"/>
    </xf>
    <xf borderId="3" fillId="3" fontId="4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27472"/>
          <bgColor rgb="FF52747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2EAEA"/>
          <bgColor rgb="FFE2EAEA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A9C2C0"/>
          <bgColor rgb="FFA9C2C0"/>
        </patternFill>
      </fill>
      <border/>
    </dxf>
  </dxfs>
  <tableStyles count="13">
    <tableStyle count="3" pivot="0" name="Integrantes del equipo-style">
      <tableStyleElement dxfId="1" type="headerRow"/>
      <tableStyleElement dxfId="2" type="firstRowStripe"/>
      <tableStyleElement dxfId="3" type="secondRowStripe"/>
    </tableStyle>
    <tableStyle count="4" pivot="0" name="Ener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Febrer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Marz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Abril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May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Juni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Juli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Agosto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Septiembre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Octubre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Noviembre-style">
      <tableStyleElement dxfId="1" type="headerRow"/>
      <tableStyleElement dxfId="2" type="firstRowStripe"/>
      <tableStyleElement dxfId="3" type="secondRowStripe"/>
      <tableStyleElement dxfId="5" type="totalRow"/>
    </tableStyle>
    <tableStyle count="4" pivot="0" name="Diciembre-style">
      <tableStyleElement dxfId="1" type="headerRow"/>
      <tableStyleElement dxfId="2" type="firstRowStripe"/>
      <tableStyleElement dxfId="3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B8" displayName="Table_1" name="Table_1" id="1">
  <tableColumns count="1">
    <tableColumn name="Nombre de los integrantes del equipo" id="1"/>
  </tableColumns>
  <tableStyleInfo name="Integrantes del equipo-style" showColumnStripes="0" showFirstColumn="1" showLastColumn="1" showRowStripes="1"/>
</table>
</file>

<file path=xl/tables/table2.xml><?xml version="1.0" encoding="utf-8"?>
<table xmlns="http://schemas.openxmlformats.org/spreadsheetml/2006/main" totalsRowCount="1" ref="B8:AH14" displayName="Table_2" name="Table_2" id="2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días" id="33"/>
  </tableColumns>
  <tableStyleInfo name="Enero-style" showColumnStripes="0" showFirstColumn="1" showLastColumn="1" showRowStripes="1"/>
</table>
</file>

<file path=xl/tables/table3.xml><?xml version="1.0" encoding="utf-8"?>
<table xmlns="http://schemas.openxmlformats.org/spreadsheetml/2006/main" totalsRowCount="1" ref="B8:AH14" displayName="Table_3" name="Table_3" id="3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 " id="31"/>
    <tableColumn name="  " id="32"/>
    <tableColumn totalsRowFunction="custom" name="Total de días" id="33"/>
  </tableColumns>
  <tableStyleInfo name="Febrero-style" showColumnStripes="0" showFirstColumn="1" showLastColumn="1" showRowStripes="1"/>
</table>
</file>

<file path=xl/tables/table4.xml><?xml version="1.0" encoding="utf-8"?>
<table xmlns="http://schemas.openxmlformats.org/spreadsheetml/2006/main" totalsRowCount="1" ref="B8:AH14" displayName="Table_4" name="Table_4" id="4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días" id="33"/>
  </tableColumns>
  <tableStyleInfo name="Marzo-style" showColumnStripes="0" showFirstColumn="1" showLastColumn="1" showRowStripes="1"/>
</table>
</file>

<file path=xl/tables/table5.xml><?xml version="1.0" encoding="utf-8"?>
<table xmlns="http://schemas.openxmlformats.org/spreadsheetml/2006/main" totalsRowCount="1" ref="B8:AH14" displayName="Table_5" name="Table_5" id="5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totalsRowFunction="custom" name="Total de días" id="33"/>
  </tableColumns>
  <tableStyleInfo name="Abril-style" showColumnStripes="0" showFirstColumn="1" showLastColumn="1" showRowStripes="1"/>
</table>
</file>

<file path=xl/tables/table6.xml><?xml version="1.0" encoding="utf-8"?>
<table xmlns="http://schemas.openxmlformats.org/spreadsheetml/2006/main" totalsRowCount="1" ref="B8:AH14" displayName="Table_6" name="Table_6" id="6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días" id="33"/>
  </tableColumns>
  <tableStyleInfo name="Mayo-style" showColumnStripes="0" showFirstColumn="1" showLastColumn="1" showRowStripes="1"/>
</table>
</file>

<file path=xl/tables/table7.xml><?xml version="1.0" encoding="utf-8"?>
<table xmlns="http://schemas.openxmlformats.org/spreadsheetml/2006/main" totalsRowCount="1" ref="B8:AH14" displayName="Table_7" name="Table_7" id="7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totalsRowFunction="custom" name="Total de días" id="33"/>
  </tableColumns>
  <tableStyleInfo name="Junio-style" showColumnStripes="0" showFirstColumn="1" showLastColumn="1" showRowStripes="1"/>
</table>
</file>

<file path=xl/tables/table8.xml><?xml version="1.0" encoding="utf-8"?>
<table xmlns="http://schemas.openxmlformats.org/spreadsheetml/2006/main" totalsRowCount="1" ref="B8:AH14" displayName="Table_8" name="Table_8" id="8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días" id="33"/>
  </tableColumns>
  <tableStyleInfo name="Julio-style" showColumnStripes="0" showFirstColumn="1" showLastColumn="1" showRowStripes="1"/>
</table>
</file>

<file path=xl/tables/table9.xml><?xml version="1.0" encoding="utf-8"?>
<table xmlns="http://schemas.openxmlformats.org/spreadsheetml/2006/main" totalsRowCount="1" ref="B8:AH14" displayName="Table_9" name="Table_9" id="9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días" id="33"/>
  </tableColumns>
  <tableStyleInfo name="Agosto-style" showColumnStripes="0" showFirstColumn="1" showLastColumn="1" showRowStripes="1"/>
</table>
</file>

<file path=xl/tables/table10.xml><?xml version="1.0" encoding="utf-8"?>
<table xmlns="http://schemas.openxmlformats.org/spreadsheetml/2006/main" totalsRowCount="1" ref="B8:AH14" displayName="Table_10" name="Table_10" id="10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totalsRowFunction="custom" name="Total de horas" id="33"/>
  </tableColumns>
  <tableStyleInfo name="Septiembre-style" showColumnStripes="0" showFirstColumn="1" showLastColumn="1" showRowStripes="1"/>
</table>
</file>

<file path=xl/tables/table11.xml><?xml version="1.0" encoding="utf-8"?>
<table xmlns="http://schemas.openxmlformats.org/spreadsheetml/2006/main" totalsRowCount="1" ref="B8:AH14" displayName="Table_11" name="Table_11" id="11">
  <tableColumns count="33">
    <tableColumn totalsRowLabel="Numero de sprint" name="Nombre de los integrantes" id="1"/>
    <tableColumn name="1" id="2"/>
    <tableColumn name="2" id="3"/>
    <tableColumn name="3" id="4"/>
    <tableColumn name="4" id="5"/>
    <tableColumn name="5" id="6"/>
    <tableColumn totalsRowLabel="1" name="6" id="7"/>
    <tableColumn totalsRowLabel="1" name="7" id="8"/>
    <tableColumn totalsRowLabel="1" name="8" id="9"/>
    <tableColumn totalsRowLabel="1" name="9" id="10"/>
    <tableColumn totalsRowLabel="1" name="10" id="11"/>
    <tableColumn name="11" id="12"/>
    <tableColumn name="12" id="13"/>
    <tableColumn totalsRowLabel="2" name="13" id="14"/>
    <tableColumn totalsRowLabel="2" name="14" id="15"/>
    <tableColumn totalsRowLabel="2" name="15" id="16"/>
    <tableColumn totalsRowLabel="2" name="16" id="17"/>
    <tableColumn totalsRowLabel="2" name="17" id="18"/>
    <tableColumn name="18" id="19"/>
    <tableColumn name="19" id="20"/>
    <tableColumn totalsRowLabel="3" name="20" id="21"/>
    <tableColumn totalsRowLabel="3" name="21" id="22"/>
    <tableColumn totalsRowLabel="3" name="22" id="23"/>
    <tableColumn totalsRowLabel="3" name="23" id="24"/>
    <tableColumn totalsRowLabel="3" name="24" id="25"/>
    <tableColumn name="25" id="26"/>
    <tableColumn name="26" id="27"/>
    <tableColumn totalsRowLabel="4" name="27" id="28"/>
    <tableColumn totalsRowLabel="4" name="28" id="29"/>
    <tableColumn totalsRowLabel="4" name="29" id="30"/>
    <tableColumn totalsRowLabel="4" name="30" id="31"/>
    <tableColumn totalsRowLabel="4" name="31" id="32"/>
    <tableColumn totalsRowFunction="custom" name="Total de horas" id="33"/>
  </tableColumns>
  <tableStyleInfo name="Octubre-style" showColumnStripes="0" showFirstColumn="1" showLastColumn="1" showRowStripes="1"/>
</table>
</file>

<file path=xl/tables/table12.xml><?xml version="1.0" encoding="utf-8"?>
<table xmlns="http://schemas.openxmlformats.org/spreadsheetml/2006/main" totalsRowCount="1" ref="B8:AH14" displayName="Table_12" name="Table_12" id="12">
  <tableColumns count="33">
    <tableColumn totalsRowLabel="Numero de sprint" name="Nombre de los integrantes" id="1"/>
    <tableColumn name="1" id="2"/>
    <tableColumn name="2" id="3"/>
    <tableColumn totalsRowLabel="4" name="3" id="4"/>
    <tableColumn totalsRowLabel="4" name="4" id="5"/>
    <tableColumn totalsRowLabel="4" name="5" id="6"/>
    <tableColumn totalsRowLabel="4" name="6" id="7"/>
    <tableColumn totalsRowLabel="4"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 " id="32"/>
    <tableColumn totalsRowFunction="custom" name="Total de horas" id="33"/>
  </tableColumns>
  <tableStyleInfo name="Noviembre-style" showColumnStripes="0" showFirstColumn="1" showLastColumn="1" showRowStripes="1"/>
</table>
</file>

<file path=xl/tables/table13.xml><?xml version="1.0" encoding="utf-8"?>
<table xmlns="http://schemas.openxmlformats.org/spreadsheetml/2006/main" totalsRowCount="1" ref="B8:AH14" displayName="Table_13" name="Table_13" id="13">
  <tableColumns count="33">
    <tableColumn totalsRowLabel="Numero de sprint" name="Nombre de los integrante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  <tableColumn name="31" id="32"/>
    <tableColumn totalsRowFunction="custom" name="Total de horas" id="33"/>
  </tableColumns>
  <tableStyleInfo name="Diciemb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M03987167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F452F"/>
      </a:accent1>
      <a:accent2>
        <a:srgbClr val="709A97"/>
      </a:accent2>
      <a:accent3>
        <a:srgbClr val="1B417C"/>
      </a:accent3>
      <a:accent4>
        <a:srgbClr val="D8A141"/>
      </a:accent4>
      <a:accent5>
        <a:srgbClr val="CAAFF3"/>
      </a:accent5>
      <a:accent6>
        <a:srgbClr val="EF5C37"/>
      </a:accent6>
      <a:hlink>
        <a:srgbClr val="0563C1"/>
      </a:hlink>
      <a:folHlink>
        <a:srgbClr val="954F72"/>
      </a:folHlink>
    </a:clrScheme>
    <a:fontScheme name="Employee Absence Schedul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43.0"/>
    <col customWidth="1" min="3" max="3" width="2.71"/>
    <col customWidth="1" min="4" max="11" width="8.71"/>
  </cols>
  <sheetData>
    <row r="1" ht="49.5" customHeight="1">
      <c r="B1" s="1" t="s">
        <v>0</v>
      </c>
    </row>
    <row r="2" ht="15.0" customHeight="1"/>
    <row r="3" ht="30.0" customHeight="1">
      <c r="B3" s="2" t="s">
        <v>1</v>
      </c>
    </row>
    <row r="4" ht="30.0" customHeight="1">
      <c r="B4" s="3" t="s">
        <v>2</v>
      </c>
    </row>
    <row r="5" ht="30.0" customHeight="1">
      <c r="B5" s="3" t="s">
        <v>3</v>
      </c>
    </row>
    <row r="6" ht="30.0" customHeight="1">
      <c r="B6" s="3" t="s">
        <v>4</v>
      </c>
    </row>
    <row r="7" ht="30.0" customHeight="1">
      <c r="B7" s="3" t="s">
        <v>5</v>
      </c>
    </row>
    <row r="8" ht="30.0" customHeight="1">
      <c r="B8" s="3" t="s">
        <v>6</v>
      </c>
    </row>
    <row r="9" ht="30.0" customHeight="1"/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84D8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A1" s="4"/>
      <c r="B1" s="5" t="s">
        <v>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99.75" customHeight="1">
      <c r="B2" s="7" t="s">
        <v>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15.0" customHeight="1"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8"/>
    </row>
    <row r="6" ht="49.5" customHeight="1">
      <c r="B6" s="19"/>
      <c r="C6" s="20" t="s">
        <v>15</v>
      </c>
      <c r="AH6" s="19">
        <v>2025.0</v>
      </c>
    </row>
    <row r="7" ht="30.0" customHeight="1">
      <c r="B7" s="19"/>
      <c r="C7" s="21" t="str">
        <f>TEXT(WEEKDAY(DATE(CalendarYear,1,1),1),"ddd")</f>
        <v>Wed</v>
      </c>
      <c r="D7" s="21" t="str">
        <f>TEXT(WEEKDAY(DATE(CalendarYear,1,2),1),"ddd")</f>
        <v>Thu</v>
      </c>
      <c r="E7" s="21" t="str">
        <f>TEXT(WEEKDAY(DATE(CalendarYear,1,3),1),"ddd")</f>
        <v>Fri</v>
      </c>
      <c r="F7" s="21" t="str">
        <f>TEXT(WEEKDAY(DATE(CalendarYear,1,4),1),"ddd")</f>
        <v>Sat</v>
      </c>
      <c r="G7" s="21" t="str">
        <f>TEXT(WEEKDAY(DATE(CalendarYear,1,5),1),"ddd")</f>
        <v>Sun</v>
      </c>
      <c r="H7" s="21" t="str">
        <f>TEXT(WEEKDAY(DATE(CalendarYear,1,6),1),"ddd")</f>
        <v>Mon</v>
      </c>
      <c r="I7" s="21" t="str">
        <f>TEXT(WEEKDAY(DATE(CalendarYear,1,7),1),"ddd")</f>
        <v>Tue</v>
      </c>
      <c r="J7" s="21" t="str">
        <f>TEXT(WEEKDAY(DATE(CalendarYear,1,8),1),"ddd")</f>
        <v>Wed</v>
      </c>
      <c r="K7" s="21" t="str">
        <f>TEXT(WEEKDAY(DATE(CalendarYear,1,9),1),"ddd")</f>
        <v>Thu</v>
      </c>
      <c r="L7" s="21" t="str">
        <f>TEXT(WEEKDAY(DATE(CalendarYear,1,10),1),"ddd")</f>
        <v>Fri</v>
      </c>
      <c r="M7" s="21" t="str">
        <f>TEXT(WEEKDAY(DATE(CalendarYear,1,11),1),"ddd")</f>
        <v>Sat</v>
      </c>
      <c r="N7" s="21" t="str">
        <f>TEXT(WEEKDAY(DATE(CalendarYear,1,12),1),"ddd")</f>
        <v>Sun</v>
      </c>
      <c r="O7" s="21" t="str">
        <f>TEXT(WEEKDAY(DATE(CalendarYear,1,13),1),"ddd")</f>
        <v>Mon</v>
      </c>
      <c r="P7" s="21" t="str">
        <f>TEXT(WEEKDAY(DATE(CalendarYear,1,14),1),"ddd")</f>
        <v>Tue</v>
      </c>
      <c r="Q7" s="21" t="str">
        <f>TEXT(WEEKDAY(DATE(CalendarYear,1,15),1),"ddd")</f>
        <v>Wed</v>
      </c>
      <c r="R7" s="21" t="str">
        <f>TEXT(WEEKDAY(DATE(CalendarYear,1,16),1),"ddd")</f>
        <v>Thu</v>
      </c>
      <c r="S7" s="21" t="str">
        <f>TEXT(WEEKDAY(DATE(CalendarYear,1,17),1),"ddd")</f>
        <v>Fri</v>
      </c>
      <c r="T7" s="21" t="str">
        <f>TEXT(WEEKDAY(DATE(CalendarYear,1,18),1),"ddd")</f>
        <v>Sat</v>
      </c>
      <c r="U7" s="21" t="str">
        <f>TEXT(WEEKDAY(DATE(CalendarYear,1,19),1),"ddd")</f>
        <v>Sun</v>
      </c>
      <c r="V7" s="21" t="str">
        <f>TEXT(WEEKDAY(DATE(CalendarYear,1,20),1),"ddd")</f>
        <v>Mon</v>
      </c>
      <c r="W7" s="21" t="str">
        <f>TEXT(WEEKDAY(DATE(CalendarYear,1,21),1),"ddd")</f>
        <v>Tue</v>
      </c>
      <c r="X7" s="21" t="str">
        <f>TEXT(WEEKDAY(DATE(CalendarYear,1,22),1),"ddd")</f>
        <v>Wed</v>
      </c>
      <c r="Y7" s="21" t="str">
        <f>TEXT(WEEKDAY(DATE(CalendarYear,1,23),1),"ddd")</f>
        <v>Thu</v>
      </c>
      <c r="Z7" s="21" t="str">
        <f>TEXT(WEEKDAY(DATE(CalendarYear,1,24),1),"ddd")</f>
        <v>Fri</v>
      </c>
      <c r="AA7" s="21" t="str">
        <f>TEXT(WEEKDAY(DATE(CalendarYear,1,25),1),"ddd")</f>
        <v>Sat</v>
      </c>
      <c r="AB7" s="21" t="str">
        <f>TEXT(WEEKDAY(DATE(CalendarYear,1,26),1),"ddd")</f>
        <v>Sun</v>
      </c>
      <c r="AC7" s="21" t="str">
        <f>TEXT(WEEKDAY(DATE(CalendarYear,1,27),1),"ddd")</f>
        <v>Mon</v>
      </c>
      <c r="AD7" s="21" t="str">
        <f>TEXT(WEEKDAY(DATE(CalendarYear,1,28),1),"ddd")</f>
        <v>Tue</v>
      </c>
      <c r="AE7" s="21" t="str">
        <f>TEXT(WEEKDAY(DATE(CalendarYear,1,29),1),"ddd")</f>
        <v>Wed</v>
      </c>
      <c r="AF7" s="21" t="str">
        <f>TEXT(WEEKDAY(DATE(CalendarYear,1,30),1),"ddd")</f>
        <v>Thu</v>
      </c>
      <c r="AG7" s="21" t="str">
        <f>TEXT(WEEKDAY(DATE(CalendarYear,1,31),1),"ddd")</f>
        <v>Fri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48</v>
      </c>
    </row>
    <row r="9" ht="30.0" customHeight="1">
      <c r="B9" s="25" t="s">
        <v>2</v>
      </c>
      <c r="C9" s="23"/>
      <c r="D9" s="23"/>
      <c r="E9" s="23"/>
      <c r="F9" s="23" t="s">
        <v>10</v>
      </c>
      <c r="G9" s="23" t="s">
        <v>10</v>
      </c>
      <c r="H9" s="23"/>
      <c r="I9" s="23"/>
      <c r="J9" s="23"/>
      <c r="K9" s="23"/>
      <c r="L9" s="23"/>
      <c r="M9" s="23" t="s">
        <v>10</v>
      </c>
      <c r="N9" s="23" t="s">
        <v>10</v>
      </c>
      <c r="O9" s="23"/>
      <c r="P9" s="23"/>
      <c r="Q9" s="23"/>
      <c r="R9" s="23"/>
      <c r="S9" s="23"/>
      <c r="T9" s="23" t="s">
        <v>10</v>
      </c>
      <c r="U9" s="23" t="s">
        <v>10</v>
      </c>
      <c r="V9" s="23"/>
      <c r="W9" s="23"/>
      <c r="X9" s="23"/>
      <c r="Y9" s="23"/>
      <c r="Z9" s="23"/>
      <c r="AA9" s="23" t="s">
        <v>10</v>
      </c>
      <c r="AB9" s="23" t="s">
        <v>10</v>
      </c>
      <c r="AC9" s="23"/>
      <c r="AD9" s="23"/>
      <c r="AE9" s="23"/>
      <c r="AF9" s="23"/>
      <c r="AG9" s="23"/>
      <c r="AH9" s="26" t="str">
        <f>COUNTA(Enero!$C9:$AG9)</f>
        <v>8</v>
      </c>
    </row>
    <row r="10" ht="30.0" customHeight="1">
      <c r="B10" s="25" t="s">
        <v>3</v>
      </c>
      <c r="C10" s="23"/>
      <c r="D10" s="23"/>
      <c r="E10" s="23"/>
      <c r="F10" s="23" t="s">
        <v>10</v>
      </c>
      <c r="G10" s="23" t="s">
        <v>10</v>
      </c>
      <c r="H10" s="23"/>
      <c r="I10" s="23"/>
      <c r="J10" s="23"/>
      <c r="K10" s="23"/>
      <c r="L10" s="23"/>
      <c r="M10" s="23" t="s">
        <v>10</v>
      </c>
      <c r="N10" s="23" t="s">
        <v>10</v>
      </c>
      <c r="O10" s="23"/>
      <c r="P10" s="23"/>
      <c r="Q10" s="23"/>
      <c r="R10" s="23"/>
      <c r="S10" s="23"/>
      <c r="T10" s="23" t="s">
        <v>10</v>
      </c>
      <c r="U10" s="23" t="s">
        <v>10</v>
      </c>
      <c r="V10" s="23"/>
      <c r="W10" s="23"/>
      <c r="X10" s="23"/>
      <c r="Y10" s="23"/>
      <c r="Z10" s="23"/>
      <c r="AA10" s="23" t="s">
        <v>10</v>
      </c>
      <c r="AB10" s="23" t="s">
        <v>10</v>
      </c>
      <c r="AC10" s="23"/>
      <c r="AD10" s="23"/>
      <c r="AE10" s="23"/>
      <c r="AF10" s="23"/>
      <c r="AG10" s="23"/>
      <c r="AH10" s="26" t="str">
        <f>COUNTA(Enero!$C10:$AG10)</f>
        <v>8</v>
      </c>
    </row>
    <row r="11" ht="30.0" customHeight="1">
      <c r="B11" s="25" t="s">
        <v>4</v>
      </c>
      <c r="C11" s="23"/>
      <c r="D11" s="23"/>
      <c r="E11" s="23"/>
      <c r="F11" s="23" t="s">
        <v>10</v>
      </c>
      <c r="G11" s="23" t="s">
        <v>10</v>
      </c>
      <c r="H11" s="23"/>
      <c r="I11" s="23"/>
      <c r="J11" s="23"/>
      <c r="K11" s="23"/>
      <c r="L11" s="23"/>
      <c r="M11" s="23" t="s">
        <v>10</v>
      </c>
      <c r="N11" s="23" t="s">
        <v>10</v>
      </c>
      <c r="O11" s="23"/>
      <c r="P11" s="23"/>
      <c r="Q11" s="23"/>
      <c r="R11" s="23"/>
      <c r="S11" s="23"/>
      <c r="T11" s="23" t="s">
        <v>10</v>
      </c>
      <c r="U11" s="23" t="s">
        <v>10</v>
      </c>
      <c r="V11" s="23"/>
      <c r="W11" s="23"/>
      <c r="X11" s="23"/>
      <c r="Y11" s="23"/>
      <c r="Z11" s="23"/>
      <c r="AA11" s="23" t="s">
        <v>10</v>
      </c>
      <c r="AB11" s="23" t="s">
        <v>10</v>
      </c>
      <c r="AC11" s="23"/>
      <c r="AD11" s="23"/>
      <c r="AE11" s="23"/>
      <c r="AF11" s="23"/>
      <c r="AG11" s="23"/>
      <c r="AH11" s="26" t="str">
        <f>COUNTA(Enero!$C11:$AG11)</f>
        <v>8</v>
      </c>
    </row>
    <row r="12" ht="30.0" customHeight="1">
      <c r="B12" s="25" t="s">
        <v>5</v>
      </c>
      <c r="C12" s="23"/>
      <c r="D12" s="23"/>
      <c r="E12" s="23"/>
      <c r="F12" s="23" t="s">
        <v>10</v>
      </c>
      <c r="G12" s="23" t="s">
        <v>10</v>
      </c>
      <c r="H12" s="23"/>
      <c r="I12" s="23"/>
      <c r="J12" s="23"/>
      <c r="K12" s="23"/>
      <c r="L12" s="23"/>
      <c r="M12" s="23" t="s">
        <v>10</v>
      </c>
      <c r="N12" s="23" t="s">
        <v>10</v>
      </c>
      <c r="O12" s="23"/>
      <c r="P12" s="23"/>
      <c r="Q12" s="23"/>
      <c r="R12" s="23"/>
      <c r="S12" s="23"/>
      <c r="T12" s="23" t="s">
        <v>10</v>
      </c>
      <c r="U12" s="23" t="s">
        <v>10</v>
      </c>
      <c r="V12" s="23"/>
      <c r="W12" s="23"/>
      <c r="X12" s="23"/>
      <c r="Y12" s="23"/>
      <c r="Z12" s="23"/>
      <c r="AA12" s="23" t="s">
        <v>10</v>
      </c>
      <c r="AB12" s="23" t="s">
        <v>10</v>
      </c>
      <c r="AC12" s="23"/>
      <c r="AD12" s="23"/>
      <c r="AE12" s="23"/>
      <c r="AF12" s="23"/>
      <c r="AG12" s="23"/>
      <c r="AH12" s="26" t="str">
        <f>COUNTA(Enero!$C12:$AG12)</f>
        <v>8</v>
      </c>
    </row>
    <row r="13" ht="30.0" customHeight="1">
      <c r="B13" s="25" t="s">
        <v>6</v>
      </c>
      <c r="C13" s="23"/>
      <c r="D13" s="23"/>
      <c r="E13" s="23"/>
      <c r="F13" s="23" t="s">
        <v>10</v>
      </c>
      <c r="G13" s="23" t="s">
        <v>10</v>
      </c>
      <c r="H13" s="23"/>
      <c r="I13" s="23"/>
      <c r="J13" s="23"/>
      <c r="K13" s="23"/>
      <c r="L13" s="23"/>
      <c r="M13" s="23" t="s">
        <v>10</v>
      </c>
      <c r="N13" s="23" t="s">
        <v>10</v>
      </c>
      <c r="O13" s="23"/>
      <c r="P13" s="23"/>
      <c r="Q13" s="23"/>
      <c r="R13" s="23"/>
      <c r="S13" s="23"/>
      <c r="T13" s="23" t="s">
        <v>10</v>
      </c>
      <c r="U13" s="23" t="s">
        <v>10</v>
      </c>
      <c r="V13" s="23"/>
      <c r="W13" s="23"/>
      <c r="X13" s="23"/>
      <c r="Y13" s="23"/>
      <c r="Z13" s="23"/>
      <c r="AA13" s="23" t="s">
        <v>10</v>
      </c>
      <c r="AB13" s="23" t="s">
        <v>10</v>
      </c>
      <c r="AC13" s="23"/>
      <c r="AD13" s="23"/>
      <c r="AE13" s="23"/>
      <c r="AF13" s="23"/>
      <c r="AG13" s="23"/>
      <c r="AH13" s="26" t="str">
        <f>COUNTA(Enero!$C13:$AG13)</f>
        <v>8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SUBTOTAL(109,Enero[Total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Z13 AC9:AG13">
    <cfRule type="expression" dxfId="4" priority="1" stopIfTrue="1">
      <formula>C9=""</formula>
    </cfRule>
  </conditionalFormatting>
  <conditionalFormatting sqref="AA9:AB13">
    <cfRule type="expression" dxfId="4" priority="2" stopIfTrue="1">
      <formula>AA9=""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84D8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7" t="s">
        <v>50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TEXT(WEEKDAY(DATE(CalendarYear,2,1),1),"ddd")</f>
        <v>Sat</v>
      </c>
      <c r="D7" s="21" t="str">
        <f>TEXT(WEEKDAY(DATE(CalendarYear,2,2),1),"ddd")</f>
        <v>Sun</v>
      </c>
      <c r="E7" s="21" t="str">
        <f>TEXT(WEEKDAY(DATE(CalendarYear,2,3),1),"ddd")</f>
        <v>Mon</v>
      </c>
      <c r="F7" s="21" t="str">
        <f>TEXT(WEEKDAY(DATE(CalendarYear,2,4),1),"ddd")</f>
        <v>Tue</v>
      </c>
      <c r="G7" s="21" t="str">
        <f>TEXT(WEEKDAY(DATE(CalendarYear,2,5),1),"ddd")</f>
        <v>Wed</v>
      </c>
      <c r="H7" s="21" t="str">
        <f>TEXT(WEEKDAY(DATE(CalendarYear,2,6),1),"ddd")</f>
        <v>Thu</v>
      </c>
      <c r="I7" s="21" t="str">
        <f>TEXT(WEEKDAY(DATE(CalendarYear,2,7),1),"ddd")</f>
        <v>Fri</v>
      </c>
      <c r="J7" s="21" t="str">
        <f>TEXT(WEEKDAY(DATE(CalendarYear,2,8),1),"ddd")</f>
        <v>Sat</v>
      </c>
      <c r="K7" s="21" t="str">
        <f>TEXT(WEEKDAY(DATE(CalendarYear,2,9),1),"ddd")</f>
        <v>Sun</v>
      </c>
      <c r="L7" s="21" t="str">
        <f>TEXT(WEEKDAY(DATE(CalendarYear,2,10),1),"ddd")</f>
        <v>Mon</v>
      </c>
      <c r="M7" s="21" t="str">
        <f>TEXT(WEEKDAY(DATE(CalendarYear,2,11),1),"ddd")</f>
        <v>Tue</v>
      </c>
      <c r="N7" s="21" t="str">
        <f>TEXT(WEEKDAY(DATE(CalendarYear,2,12),1),"ddd")</f>
        <v>Wed</v>
      </c>
      <c r="O7" s="21" t="str">
        <f>TEXT(WEEKDAY(DATE(CalendarYear,2,13),1),"ddd")</f>
        <v>Thu</v>
      </c>
      <c r="P7" s="21" t="str">
        <f>TEXT(WEEKDAY(DATE(CalendarYear,2,14),1),"ddd")</f>
        <v>Fri</v>
      </c>
      <c r="Q7" s="21" t="str">
        <f>TEXT(WEEKDAY(DATE(CalendarYear,2,15),1),"ddd")</f>
        <v>Sat</v>
      </c>
      <c r="R7" s="21" t="str">
        <f>TEXT(WEEKDAY(DATE(CalendarYear,2,16),1),"ddd")</f>
        <v>Sun</v>
      </c>
      <c r="S7" s="21" t="str">
        <f>TEXT(WEEKDAY(DATE(CalendarYear,2,17),1),"ddd")</f>
        <v>Mon</v>
      </c>
      <c r="T7" s="21" t="str">
        <f>TEXT(WEEKDAY(DATE(CalendarYear,2,18),1),"ddd")</f>
        <v>Tue</v>
      </c>
      <c r="U7" s="21" t="str">
        <f>TEXT(WEEKDAY(DATE(CalendarYear,2,19),1),"ddd")</f>
        <v>Wed</v>
      </c>
      <c r="V7" s="21" t="str">
        <f>TEXT(WEEKDAY(DATE(CalendarYear,2,20),1),"ddd")</f>
        <v>Thu</v>
      </c>
      <c r="W7" s="21" t="str">
        <f>TEXT(WEEKDAY(DATE(CalendarYear,2,21),1),"ddd")</f>
        <v>Fri</v>
      </c>
      <c r="X7" s="21" t="str">
        <f>TEXT(WEEKDAY(DATE(CalendarYear,2,22),1),"ddd")</f>
        <v>Sat</v>
      </c>
      <c r="Y7" s="21" t="str">
        <f>TEXT(WEEKDAY(DATE(CalendarYear,2,23),1),"ddd")</f>
        <v>Sun</v>
      </c>
      <c r="Z7" s="21" t="str">
        <f>TEXT(WEEKDAY(DATE(CalendarYear,2,24),1),"ddd")</f>
        <v>Mon</v>
      </c>
      <c r="AA7" s="21" t="str">
        <f>TEXT(WEEKDAY(DATE(CalendarYear,2,25),1),"ddd")</f>
        <v>Tue</v>
      </c>
      <c r="AB7" s="21" t="str">
        <f>TEXT(WEEKDAY(DATE(CalendarYear,2,26),1),"ddd")</f>
        <v>Wed</v>
      </c>
      <c r="AC7" s="21" t="str">
        <f>TEXT(WEEKDAY(DATE(CalendarYear,2,27),1),"ddd")</f>
        <v>Thu</v>
      </c>
      <c r="AD7" s="21" t="str">
        <f>TEXT(WEEKDAY(DATE(CalendarYear,2,28),1),"ddd")</f>
        <v>Fri</v>
      </c>
      <c r="AE7" s="21" t="str">
        <f>TEXT(WEEKDAY(DATE(CalendarYear,2,29),1),"ddd")</f>
        <v>Sat</v>
      </c>
      <c r="AF7" s="21"/>
      <c r="AG7" s="21"/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51</v>
      </c>
      <c r="AG8" s="23" t="s">
        <v>52</v>
      </c>
      <c r="AH8" s="24" t="s">
        <v>48</v>
      </c>
    </row>
    <row r="9" ht="30.0" customHeight="1">
      <c r="B9" s="25" t="s">
        <v>2</v>
      </c>
      <c r="C9" s="23" t="s">
        <v>10</v>
      </c>
      <c r="D9" s="23" t="s">
        <v>10</v>
      </c>
      <c r="E9" s="23"/>
      <c r="F9" s="23"/>
      <c r="G9" s="23"/>
      <c r="H9" s="23"/>
      <c r="I9" s="23"/>
      <c r="J9" s="23" t="s">
        <v>10</v>
      </c>
      <c r="K9" s="23" t="s">
        <v>10</v>
      </c>
      <c r="L9" s="23"/>
      <c r="M9" s="23"/>
      <c r="N9" s="23"/>
      <c r="O9" s="23"/>
      <c r="P9" s="23"/>
      <c r="Q9" s="23" t="s">
        <v>10</v>
      </c>
      <c r="R9" s="23" t="s">
        <v>10</v>
      </c>
      <c r="S9" s="23"/>
      <c r="T9" s="23"/>
      <c r="U9" s="23"/>
      <c r="V9" s="23"/>
      <c r="W9" s="23"/>
      <c r="X9" s="23" t="s">
        <v>10</v>
      </c>
      <c r="Y9" s="23" t="s">
        <v>10</v>
      </c>
      <c r="Z9" s="23"/>
      <c r="AA9" s="23"/>
      <c r="AB9" s="23"/>
      <c r="AC9" s="23"/>
      <c r="AD9" s="23"/>
      <c r="AE9" s="23"/>
      <c r="AF9" s="23"/>
      <c r="AG9" s="23"/>
      <c r="AH9" s="26" t="str">
        <f>COUNTA(Febrero[[#This Row],[1]:[29]])</f>
        <v>#ERROR!</v>
      </c>
    </row>
    <row r="10" ht="30.0" customHeight="1">
      <c r="B10" s="25" t="s">
        <v>3</v>
      </c>
      <c r="C10" s="23" t="s">
        <v>10</v>
      </c>
      <c r="D10" s="23" t="s">
        <v>10</v>
      </c>
      <c r="E10" s="23"/>
      <c r="F10" s="23"/>
      <c r="G10" s="23"/>
      <c r="H10" s="23"/>
      <c r="I10" s="23"/>
      <c r="J10" s="23" t="s">
        <v>10</v>
      </c>
      <c r="K10" s="23" t="s">
        <v>10</v>
      </c>
      <c r="L10" s="23"/>
      <c r="M10" s="23"/>
      <c r="N10" s="23"/>
      <c r="O10" s="23"/>
      <c r="P10" s="23"/>
      <c r="Q10" s="23" t="s">
        <v>10</v>
      </c>
      <c r="R10" s="23" t="s">
        <v>10</v>
      </c>
      <c r="S10" s="23"/>
      <c r="T10" s="23"/>
      <c r="U10" s="23"/>
      <c r="V10" s="23"/>
      <c r="W10" s="23"/>
      <c r="X10" s="23" t="s">
        <v>10</v>
      </c>
      <c r="Y10" s="23" t="s">
        <v>10</v>
      </c>
      <c r="Z10" s="23"/>
      <c r="AA10" s="23"/>
      <c r="AB10" s="23"/>
      <c r="AC10" s="23"/>
      <c r="AD10" s="23"/>
      <c r="AE10" s="23"/>
      <c r="AF10" s="23"/>
      <c r="AG10" s="23"/>
      <c r="AH10" s="26" t="str">
        <f>COUNTA(Febrero[[#This Row],[1]:[29]])</f>
        <v>#ERROR!</v>
      </c>
    </row>
    <row r="11" ht="30.0" customHeight="1">
      <c r="B11" s="25" t="s">
        <v>4</v>
      </c>
      <c r="C11" s="23" t="s">
        <v>10</v>
      </c>
      <c r="D11" s="23" t="s">
        <v>10</v>
      </c>
      <c r="E11" s="23"/>
      <c r="F11" s="23"/>
      <c r="G11" s="23"/>
      <c r="H11" s="23"/>
      <c r="I11" s="23"/>
      <c r="J11" s="23" t="s">
        <v>10</v>
      </c>
      <c r="K11" s="23" t="s">
        <v>10</v>
      </c>
      <c r="L11" s="23"/>
      <c r="M11" s="23"/>
      <c r="N11" s="23"/>
      <c r="O11" s="23"/>
      <c r="P11" s="23"/>
      <c r="Q11" s="23" t="s">
        <v>10</v>
      </c>
      <c r="R11" s="23" t="s">
        <v>10</v>
      </c>
      <c r="S11" s="23"/>
      <c r="T11" s="23"/>
      <c r="U11" s="23"/>
      <c r="V11" s="23"/>
      <c r="W11" s="23"/>
      <c r="X11" s="23" t="s">
        <v>10</v>
      </c>
      <c r="Y11" s="23" t="s">
        <v>10</v>
      </c>
      <c r="Z11" s="23"/>
      <c r="AA11" s="23"/>
      <c r="AB11" s="23"/>
      <c r="AC11" s="23"/>
      <c r="AD11" s="23"/>
      <c r="AE11" s="23"/>
      <c r="AF11" s="23"/>
      <c r="AG11" s="23"/>
      <c r="AH11" s="26" t="str">
        <f>COUNTA(Febrero[[#This Row],[1]:[29]])</f>
        <v>#ERROR!</v>
      </c>
    </row>
    <row r="12" ht="30.0" customHeight="1">
      <c r="B12" s="25" t="s">
        <v>5</v>
      </c>
      <c r="C12" s="23" t="s">
        <v>10</v>
      </c>
      <c r="D12" s="23" t="s">
        <v>10</v>
      </c>
      <c r="E12" s="23"/>
      <c r="F12" s="23"/>
      <c r="G12" s="23"/>
      <c r="H12" s="23"/>
      <c r="I12" s="23"/>
      <c r="J12" s="23" t="s">
        <v>10</v>
      </c>
      <c r="K12" s="23" t="s">
        <v>10</v>
      </c>
      <c r="L12" s="23"/>
      <c r="M12" s="23"/>
      <c r="N12" s="23"/>
      <c r="O12" s="23"/>
      <c r="P12" s="23"/>
      <c r="Q12" s="23" t="s">
        <v>10</v>
      </c>
      <c r="R12" s="23" t="s">
        <v>10</v>
      </c>
      <c r="S12" s="23"/>
      <c r="T12" s="23"/>
      <c r="U12" s="23"/>
      <c r="V12" s="23"/>
      <c r="W12" s="23"/>
      <c r="X12" s="23" t="s">
        <v>10</v>
      </c>
      <c r="Y12" s="23" t="s">
        <v>10</v>
      </c>
      <c r="Z12" s="23"/>
      <c r="AA12" s="23"/>
      <c r="AB12" s="23"/>
      <c r="AC12" s="23"/>
      <c r="AD12" s="23"/>
      <c r="AE12" s="23"/>
      <c r="AF12" s="23"/>
      <c r="AG12" s="23"/>
      <c r="AH12" s="26" t="str">
        <f>COUNTA(Febrero[[#This Row],[1]:[29]])</f>
        <v>#ERROR!</v>
      </c>
    </row>
    <row r="13" ht="30.0" customHeight="1">
      <c r="B13" s="25" t="s">
        <v>6</v>
      </c>
      <c r="C13" s="23" t="s">
        <v>10</v>
      </c>
      <c r="D13" s="23" t="s">
        <v>10</v>
      </c>
      <c r="E13" s="23"/>
      <c r="F13" s="23"/>
      <c r="G13" s="23"/>
      <c r="H13" s="23"/>
      <c r="I13" s="23"/>
      <c r="J13" s="23" t="s">
        <v>10</v>
      </c>
      <c r="K13" s="23" t="s">
        <v>10</v>
      </c>
      <c r="L13" s="23"/>
      <c r="M13" s="23"/>
      <c r="N13" s="23"/>
      <c r="O13" s="23"/>
      <c r="P13" s="23"/>
      <c r="Q13" s="23" t="s">
        <v>10</v>
      </c>
      <c r="R13" s="23" t="s">
        <v>10</v>
      </c>
      <c r="S13" s="23"/>
      <c r="T13" s="23"/>
      <c r="U13" s="23"/>
      <c r="V13" s="23"/>
      <c r="W13" s="23"/>
      <c r="X13" s="23" t="s">
        <v>10</v>
      </c>
      <c r="Y13" s="23" t="s">
        <v>10</v>
      </c>
      <c r="Z13" s="23"/>
      <c r="AA13" s="23"/>
      <c r="AB13" s="23"/>
      <c r="AC13" s="23"/>
      <c r="AD13" s="23"/>
      <c r="AE13" s="23"/>
      <c r="AF13" s="23"/>
      <c r="AG13" s="23"/>
      <c r="AH13" s="26" t="str">
        <f>COUNTA(Febrero[[#This Row],[1]:[29]])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SUBTOTAL(109,Febrero[Total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D13">
    <cfRule type="expression" dxfId="4" priority="1" stopIfTrue="1">
      <formula>C9=""</formula>
    </cfRule>
  </conditionalFormatting>
  <conditionalFormatting sqref="E9:I13 L9:P13 S9:W13 Z9:AG13">
    <cfRule type="expression" dxfId="4" priority="2" stopIfTrue="1">
      <formula>E9=""</formula>
    </cfRule>
  </conditionalFormatting>
  <conditionalFormatting sqref="J9:K13">
    <cfRule type="expression" dxfId="4" priority="3" stopIfTrue="1">
      <formula>J9=""</formula>
    </cfRule>
  </conditionalFormatting>
  <conditionalFormatting sqref="Q9:R13">
    <cfRule type="expression" dxfId="4" priority="4" stopIfTrue="1">
      <formula>Q9=""</formula>
    </cfRule>
  </conditionalFormatting>
  <conditionalFormatting sqref="X9:Y13">
    <cfRule type="expression" dxfId="4" priority="5" stopIfTrue="1">
      <formula>X9=""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BF92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2" t="s">
        <v>53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TEXT(WEEKDAY(DATE(CalendarYear,3,1),1),"ddd")</f>
        <v>Sat</v>
      </c>
      <c r="D7" s="21" t="str">
        <f>TEXT(WEEKDAY(DATE(CalendarYear,3,2),1),"ddd")</f>
        <v>Sun</v>
      </c>
      <c r="E7" s="21" t="str">
        <f>TEXT(WEEKDAY(DATE(CalendarYear,3,3),1),"ddd")</f>
        <v>Mon</v>
      </c>
      <c r="F7" s="21" t="str">
        <f>TEXT(WEEKDAY(DATE(CalendarYear,3,4),1),"ddd")</f>
        <v>Tue</v>
      </c>
      <c r="G7" s="21" t="str">
        <f>TEXT(WEEKDAY(DATE(CalendarYear,3,5),1),"ddd")</f>
        <v>Wed</v>
      </c>
      <c r="H7" s="21" t="str">
        <f>TEXT(WEEKDAY(DATE(CalendarYear,3,6),1),"ddd")</f>
        <v>Thu</v>
      </c>
      <c r="I7" s="21" t="str">
        <f>TEXT(WEEKDAY(DATE(CalendarYear,3,7),1),"ddd")</f>
        <v>Fri</v>
      </c>
      <c r="J7" s="21" t="str">
        <f>TEXT(WEEKDAY(DATE(CalendarYear,3,8),1),"ddd")</f>
        <v>Sat</v>
      </c>
      <c r="K7" s="21" t="str">
        <f>TEXT(WEEKDAY(DATE(CalendarYear,3,9),1),"ddd")</f>
        <v>Sun</v>
      </c>
      <c r="L7" s="21" t="str">
        <f>TEXT(WEEKDAY(DATE(CalendarYear,3,10),1),"ddd")</f>
        <v>Mon</v>
      </c>
      <c r="M7" s="21" t="str">
        <f>TEXT(WEEKDAY(DATE(CalendarYear,3,11),1),"ddd")</f>
        <v>Tue</v>
      </c>
      <c r="N7" s="21" t="str">
        <f>TEXT(WEEKDAY(DATE(CalendarYear,3,12),1),"ddd")</f>
        <v>Wed</v>
      </c>
      <c r="O7" s="21" t="str">
        <f>TEXT(WEEKDAY(DATE(CalendarYear,3,13),1),"ddd")</f>
        <v>Thu</v>
      </c>
      <c r="P7" s="21" t="str">
        <f>TEXT(WEEKDAY(DATE(CalendarYear,3,14),1),"ddd")</f>
        <v>Fri</v>
      </c>
      <c r="Q7" s="21" t="str">
        <f>TEXT(WEEKDAY(DATE(CalendarYear,3,15),1),"ddd")</f>
        <v>Sat</v>
      </c>
      <c r="R7" s="21" t="str">
        <f>TEXT(WEEKDAY(DATE(CalendarYear,3,16),1),"ddd")</f>
        <v>Sun</v>
      </c>
      <c r="S7" s="21" t="str">
        <f>TEXT(WEEKDAY(DATE(CalendarYear,3,17),1),"ddd")</f>
        <v>Mon</v>
      </c>
      <c r="T7" s="21" t="str">
        <f>TEXT(WEEKDAY(DATE(CalendarYear,3,18),1),"ddd")</f>
        <v>Tue</v>
      </c>
      <c r="U7" s="21" t="str">
        <f>TEXT(WEEKDAY(DATE(CalendarYear,3,19),1),"ddd")</f>
        <v>Wed</v>
      </c>
      <c r="V7" s="21" t="str">
        <f>TEXT(WEEKDAY(DATE(CalendarYear,3,20),1),"ddd")</f>
        <v>Thu</v>
      </c>
      <c r="W7" s="21" t="str">
        <f>TEXT(WEEKDAY(DATE(CalendarYear,3,21),1),"ddd")</f>
        <v>Fri</v>
      </c>
      <c r="X7" s="21" t="str">
        <f>TEXT(WEEKDAY(DATE(CalendarYear,3,22),1),"ddd")</f>
        <v>Sat</v>
      </c>
      <c r="Y7" s="21" t="str">
        <f>TEXT(WEEKDAY(DATE(CalendarYear,3,23),1),"ddd")</f>
        <v>Sun</v>
      </c>
      <c r="Z7" s="21" t="str">
        <f>TEXT(WEEKDAY(DATE(CalendarYear,3,24),1),"ddd")</f>
        <v>Mon</v>
      </c>
      <c r="AA7" s="21" t="str">
        <f>TEXT(WEEKDAY(DATE(CalendarYear,3,25),1),"ddd")</f>
        <v>Tue</v>
      </c>
      <c r="AB7" s="21" t="str">
        <f>TEXT(WEEKDAY(DATE(CalendarYear,3,26),1),"ddd")</f>
        <v>Wed</v>
      </c>
      <c r="AC7" s="21" t="str">
        <f>TEXT(WEEKDAY(DATE(CalendarYear,3,27),1),"ddd")</f>
        <v>Thu</v>
      </c>
      <c r="AD7" s="21" t="str">
        <f>TEXT(WEEKDAY(DATE(CalendarYear,3,28),1),"ddd")</f>
        <v>Fri</v>
      </c>
      <c r="AE7" s="21" t="str">
        <f>TEXT(WEEKDAY(DATE(CalendarYear,3,29),1),"ddd")</f>
        <v>Sat</v>
      </c>
      <c r="AF7" s="21" t="str">
        <f>TEXT(WEEKDAY(DATE(CalendarYear,3,30),1),"ddd")</f>
        <v>Sun</v>
      </c>
      <c r="AG7" s="21" t="str">
        <f>TEXT(WEEKDAY(DATE(CalendarYear,3,31),1),"ddd")</f>
        <v>Mon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48</v>
      </c>
    </row>
    <row r="9" ht="30.0" customHeight="1">
      <c r="B9" s="25" t="s">
        <v>2</v>
      </c>
      <c r="C9" s="23" t="s">
        <v>10</v>
      </c>
      <c r="D9" s="23" t="s">
        <v>10</v>
      </c>
      <c r="E9" s="23"/>
      <c r="F9" s="23"/>
      <c r="G9" s="23"/>
      <c r="H9" s="23"/>
      <c r="I9" s="23"/>
      <c r="J9" s="23" t="s">
        <v>10</v>
      </c>
      <c r="K9" s="23" t="s">
        <v>10</v>
      </c>
      <c r="L9" s="23"/>
      <c r="M9" s="23"/>
      <c r="N9" s="23"/>
      <c r="O9" s="23"/>
      <c r="P9" s="23"/>
      <c r="Q9" s="23" t="s">
        <v>10</v>
      </c>
      <c r="R9" s="23" t="s">
        <v>10</v>
      </c>
      <c r="S9" s="23"/>
      <c r="T9" s="23"/>
      <c r="U9" s="23"/>
      <c r="V9" s="23"/>
      <c r="W9" s="23"/>
      <c r="X9" s="23" t="s">
        <v>10</v>
      </c>
      <c r="Y9" s="23" t="s">
        <v>10</v>
      </c>
      <c r="Z9" s="23"/>
      <c r="AA9" s="23"/>
      <c r="AB9" s="23"/>
      <c r="AC9" s="23"/>
      <c r="AD9" s="23"/>
      <c r="AE9" s="23" t="s">
        <v>10</v>
      </c>
      <c r="AF9" s="23" t="s">
        <v>10</v>
      </c>
      <c r="AG9" s="23"/>
      <c r="AH9" s="26" t="str">
        <f>COUNTA(Marzo[[#This Row],[1]:[31]])</f>
        <v>#ERROR!</v>
      </c>
    </row>
    <row r="10" ht="30.0" customHeight="1">
      <c r="B10" s="25" t="s">
        <v>3</v>
      </c>
      <c r="C10" s="23" t="s">
        <v>10</v>
      </c>
      <c r="D10" s="23" t="s">
        <v>10</v>
      </c>
      <c r="E10" s="23"/>
      <c r="F10" s="23"/>
      <c r="G10" s="23"/>
      <c r="H10" s="23"/>
      <c r="I10" s="23"/>
      <c r="J10" s="23" t="s">
        <v>10</v>
      </c>
      <c r="K10" s="23" t="s">
        <v>10</v>
      </c>
      <c r="L10" s="23"/>
      <c r="M10" s="23"/>
      <c r="N10" s="23"/>
      <c r="O10" s="23"/>
      <c r="P10" s="23"/>
      <c r="Q10" s="23" t="s">
        <v>10</v>
      </c>
      <c r="R10" s="23" t="s">
        <v>10</v>
      </c>
      <c r="S10" s="23"/>
      <c r="T10" s="23"/>
      <c r="U10" s="23"/>
      <c r="V10" s="23"/>
      <c r="W10" s="23"/>
      <c r="X10" s="23" t="s">
        <v>10</v>
      </c>
      <c r="Y10" s="23" t="s">
        <v>10</v>
      </c>
      <c r="Z10" s="23"/>
      <c r="AA10" s="23"/>
      <c r="AB10" s="23"/>
      <c r="AC10" s="23"/>
      <c r="AD10" s="23"/>
      <c r="AE10" s="23" t="s">
        <v>10</v>
      </c>
      <c r="AF10" s="23" t="s">
        <v>10</v>
      </c>
      <c r="AG10" s="23"/>
      <c r="AH10" s="26" t="str">
        <f>COUNTA(Marzo[[#This Row],[1]:[31]])</f>
        <v>#ERROR!</v>
      </c>
    </row>
    <row r="11" ht="30.0" customHeight="1">
      <c r="B11" s="25" t="s">
        <v>4</v>
      </c>
      <c r="C11" s="23" t="s">
        <v>10</v>
      </c>
      <c r="D11" s="23" t="s">
        <v>10</v>
      </c>
      <c r="E11" s="23"/>
      <c r="F11" s="23"/>
      <c r="G11" s="23"/>
      <c r="H11" s="23"/>
      <c r="I11" s="23"/>
      <c r="J11" s="23" t="s">
        <v>10</v>
      </c>
      <c r="K11" s="23" t="s">
        <v>10</v>
      </c>
      <c r="L11" s="23"/>
      <c r="M11" s="23"/>
      <c r="N11" s="23"/>
      <c r="O11" s="23"/>
      <c r="P11" s="23"/>
      <c r="Q11" s="23" t="s">
        <v>10</v>
      </c>
      <c r="R11" s="23" t="s">
        <v>10</v>
      </c>
      <c r="S11" s="23"/>
      <c r="T11" s="23"/>
      <c r="U11" s="23"/>
      <c r="V11" s="23"/>
      <c r="W11" s="23"/>
      <c r="X11" s="23" t="s">
        <v>10</v>
      </c>
      <c r="Y11" s="23" t="s">
        <v>10</v>
      </c>
      <c r="Z11" s="23"/>
      <c r="AA11" s="23"/>
      <c r="AB11" s="23"/>
      <c r="AC11" s="23"/>
      <c r="AD11" s="23"/>
      <c r="AE11" s="23" t="s">
        <v>10</v>
      </c>
      <c r="AF11" s="23" t="s">
        <v>10</v>
      </c>
      <c r="AG11" s="23"/>
      <c r="AH11" s="26" t="str">
        <f>COUNTA(Marzo[[#This Row],[1]:[31]])</f>
        <v>#ERROR!</v>
      </c>
    </row>
    <row r="12" ht="30.0" customHeight="1">
      <c r="B12" s="25" t="s">
        <v>5</v>
      </c>
      <c r="C12" s="23" t="s">
        <v>10</v>
      </c>
      <c r="D12" s="23" t="s">
        <v>10</v>
      </c>
      <c r="E12" s="23"/>
      <c r="F12" s="23"/>
      <c r="G12" s="23"/>
      <c r="H12" s="23"/>
      <c r="I12" s="23"/>
      <c r="J12" s="23" t="s">
        <v>10</v>
      </c>
      <c r="K12" s="23" t="s">
        <v>10</v>
      </c>
      <c r="L12" s="23"/>
      <c r="M12" s="23"/>
      <c r="N12" s="23"/>
      <c r="O12" s="23"/>
      <c r="P12" s="23"/>
      <c r="Q12" s="23" t="s">
        <v>10</v>
      </c>
      <c r="R12" s="23" t="s">
        <v>10</v>
      </c>
      <c r="S12" s="23"/>
      <c r="T12" s="23"/>
      <c r="U12" s="23"/>
      <c r="V12" s="23"/>
      <c r="W12" s="23"/>
      <c r="X12" s="23" t="s">
        <v>10</v>
      </c>
      <c r="Y12" s="23" t="s">
        <v>10</v>
      </c>
      <c r="Z12" s="23"/>
      <c r="AA12" s="23"/>
      <c r="AB12" s="23"/>
      <c r="AC12" s="23"/>
      <c r="AD12" s="23"/>
      <c r="AE12" s="23" t="s">
        <v>10</v>
      </c>
      <c r="AF12" s="23" t="s">
        <v>10</v>
      </c>
      <c r="AG12" s="23"/>
      <c r="AH12" s="26" t="str">
        <f>COUNTA(Marzo[[#This Row],[1]:[31]])</f>
        <v>#ERROR!</v>
      </c>
    </row>
    <row r="13" ht="30.0" customHeight="1">
      <c r="B13" s="25" t="s">
        <v>6</v>
      </c>
      <c r="C13" s="23" t="s">
        <v>10</v>
      </c>
      <c r="D13" s="23" t="s">
        <v>10</v>
      </c>
      <c r="E13" s="23"/>
      <c r="F13" s="23"/>
      <c r="G13" s="23"/>
      <c r="H13" s="23"/>
      <c r="I13" s="23"/>
      <c r="J13" s="23" t="s">
        <v>10</v>
      </c>
      <c r="K13" s="23" t="s">
        <v>10</v>
      </c>
      <c r="L13" s="23"/>
      <c r="M13" s="23"/>
      <c r="N13" s="23"/>
      <c r="O13" s="23"/>
      <c r="P13" s="23"/>
      <c r="Q13" s="23" t="s">
        <v>10</v>
      </c>
      <c r="R13" s="23" t="s">
        <v>10</v>
      </c>
      <c r="S13" s="23"/>
      <c r="T13" s="23"/>
      <c r="U13" s="23"/>
      <c r="V13" s="23"/>
      <c r="W13" s="23"/>
      <c r="X13" s="23" t="s">
        <v>10</v>
      </c>
      <c r="Y13" s="23" t="s">
        <v>10</v>
      </c>
      <c r="Z13" s="23"/>
      <c r="AA13" s="23"/>
      <c r="AB13" s="23"/>
      <c r="AC13" s="23"/>
      <c r="AD13" s="23"/>
      <c r="AE13" s="23" t="s">
        <v>10</v>
      </c>
      <c r="AF13" s="23" t="s">
        <v>10</v>
      </c>
      <c r="AG13" s="23"/>
      <c r="AH13" s="26" t="str">
        <f>COUNTA(Marzo[[#This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SUBTOTAL(109,Marzo[Total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D13">
    <cfRule type="expression" dxfId="4" priority="1" stopIfTrue="1">
      <formula>C9=""</formula>
    </cfRule>
  </conditionalFormatting>
  <conditionalFormatting sqref="E9:I13 L9:P13 S9:W13 Z9:AD13 AG9:AG13">
    <cfRule type="expression" dxfId="4" priority="2" stopIfTrue="1">
      <formula>E9=""</formula>
    </cfRule>
  </conditionalFormatting>
  <conditionalFormatting sqref="J9:K13">
    <cfRule type="expression" dxfId="4" priority="3" stopIfTrue="1">
      <formula>J9=""</formula>
    </cfRule>
  </conditionalFormatting>
  <conditionalFormatting sqref="Q9:R13">
    <cfRule type="expression" dxfId="4" priority="4" stopIfTrue="1">
      <formula>Q9=""</formula>
    </cfRule>
  </conditionalFormatting>
  <conditionalFormatting sqref="X9:Y13">
    <cfRule type="expression" dxfId="4" priority="5" stopIfTrue="1">
      <formula>X9=""</formula>
    </cfRule>
  </conditionalFormatting>
  <conditionalFormatting sqref="AE9:AF13">
    <cfRule type="expression" dxfId="4" priority="6" stopIfTrue="1">
      <formula>AE9=""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BF92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3" t="s">
        <v>54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TEXT(WEEKDAY(DATE(CalendarYear,4,1),1),"ddd")</f>
        <v>Tue</v>
      </c>
      <c r="D7" s="21" t="str">
        <f>TEXT(WEEKDAY(DATE(CalendarYear,4,2),1),"ddd")</f>
        <v>Wed</v>
      </c>
      <c r="E7" s="21" t="str">
        <f>TEXT(WEEKDAY(DATE(CalendarYear,4,3),1),"ddd")</f>
        <v>Thu</v>
      </c>
      <c r="F7" s="21" t="str">
        <f>TEXT(WEEKDAY(DATE(CalendarYear,4,4),1),"ddd")</f>
        <v>Fri</v>
      </c>
      <c r="G7" s="21" t="str">
        <f>TEXT(WEEKDAY(DATE(CalendarYear,4,5),1),"ddd")</f>
        <v>Sat</v>
      </c>
      <c r="H7" s="21" t="str">
        <f>TEXT(WEEKDAY(DATE(CalendarYear,4,6),1),"ddd")</f>
        <v>Sun</v>
      </c>
      <c r="I7" s="21" t="str">
        <f>TEXT(WEEKDAY(DATE(CalendarYear,4,7),1),"ddd")</f>
        <v>Mon</v>
      </c>
      <c r="J7" s="21" t="str">
        <f>TEXT(WEEKDAY(DATE(CalendarYear,4,8),1),"ddd")</f>
        <v>Tue</v>
      </c>
      <c r="K7" s="21" t="str">
        <f>TEXT(WEEKDAY(DATE(CalendarYear,4,9),1),"ddd")</f>
        <v>Wed</v>
      </c>
      <c r="L7" s="21" t="str">
        <f>TEXT(WEEKDAY(DATE(CalendarYear,4,10),1),"ddd")</f>
        <v>Thu</v>
      </c>
      <c r="M7" s="21" t="str">
        <f>TEXT(WEEKDAY(DATE(CalendarYear,4,11),1),"ddd")</f>
        <v>Fri</v>
      </c>
      <c r="N7" s="21" t="str">
        <f>TEXT(WEEKDAY(DATE(CalendarYear,4,12),1),"ddd")</f>
        <v>Sat</v>
      </c>
      <c r="O7" s="21" t="str">
        <f>TEXT(WEEKDAY(DATE(CalendarYear,4,13),1),"ddd")</f>
        <v>Sun</v>
      </c>
      <c r="P7" s="21" t="str">
        <f>TEXT(WEEKDAY(DATE(CalendarYear,4,14),1),"ddd")</f>
        <v>Mon</v>
      </c>
      <c r="Q7" s="21" t="str">
        <f>TEXT(WEEKDAY(DATE(CalendarYear,4,15),1),"ddd")</f>
        <v>Tue</v>
      </c>
      <c r="R7" s="21" t="str">
        <f>TEXT(WEEKDAY(DATE(CalendarYear,4,16),1),"ddd")</f>
        <v>Wed</v>
      </c>
      <c r="S7" s="21" t="str">
        <f>TEXT(WEEKDAY(DATE(CalendarYear,4,17),1),"ddd")</f>
        <v>Thu</v>
      </c>
      <c r="T7" s="21" t="str">
        <f>TEXT(WEEKDAY(DATE(CalendarYear,4,18),1),"ddd")</f>
        <v>Fri</v>
      </c>
      <c r="U7" s="21" t="str">
        <f>TEXT(WEEKDAY(DATE(CalendarYear,4,19),1),"ddd")</f>
        <v>Sat</v>
      </c>
      <c r="V7" s="21" t="str">
        <f>TEXT(WEEKDAY(DATE(CalendarYear,4,20),1),"ddd")</f>
        <v>Sun</v>
      </c>
      <c r="W7" s="21" t="str">
        <f>TEXT(WEEKDAY(DATE(CalendarYear,4,21),1),"ddd")</f>
        <v>Mon</v>
      </c>
      <c r="X7" s="21" t="str">
        <f>TEXT(WEEKDAY(DATE(CalendarYear,4,22),1),"ddd")</f>
        <v>Tue</v>
      </c>
      <c r="Y7" s="21" t="str">
        <f>TEXT(WEEKDAY(DATE(CalendarYear,4,23),1),"ddd")</f>
        <v>Wed</v>
      </c>
      <c r="Z7" s="21" t="str">
        <f>TEXT(WEEKDAY(DATE(CalendarYear,4,24),1),"ddd")</f>
        <v>Thu</v>
      </c>
      <c r="AA7" s="21" t="str">
        <f>TEXT(WEEKDAY(DATE(CalendarYear,4,25),1),"ddd")</f>
        <v>Fri</v>
      </c>
      <c r="AB7" s="21" t="str">
        <f>TEXT(WEEKDAY(DATE(CalendarYear,4,26),1),"ddd")</f>
        <v>Sat</v>
      </c>
      <c r="AC7" s="21" t="str">
        <f>TEXT(WEEKDAY(DATE(CalendarYear,4,27),1),"ddd")</f>
        <v>Sun</v>
      </c>
      <c r="AD7" s="21" t="str">
        <f>TEXT(WEEKDAY(DATE(CalendarYear,4,28),1),"ddd")</f>
        <v>Mon</v>
      </c>
      <c r="AE7" s="21" t="str">
        <f>TEXT(WEEKDAY(DATE(CalendarYear,4,29),1),"ddd")</f>
        <v>Tue</v>
      </c>
      <c r="AF7" s="21" t="str">
        <f>TEXT(WEEKDAY(DATE(CalendarYear,4,30),1),"ddd")</f>
        <v>Wed</v>
      </c>
      <c r="AG7" s="21"/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51</v>
      </c>
      <c r="AH8" s="24" t="s">
        <v>48</v>
      </c>
    </row>
    <row r="9" ht="30.0" customHeight="1">
      <c r="B9" s="25" t="s">
        <v>2</v>
      </c>
      <c r="C9" s="23"/>
      <c r="D9" s="23"/>
      <c r="E9" s="23"/>
      <c r="F9" s="23"/>
      <c r="G9" s="23" t="s">
        <v>10</v>
      </c>
      <c r="H9" s="23" t="s">
        <v>10</v>
      </c>
      <c r="I9" s="23"/>
      <c r="J9" s="23"/>
      <c r="K9" s="23"/>
      <c r="L9" s="23"/>
      <c r="M9" s="23"/>
      <c r="N9" s="23" t="s">
        <v>10</v>
      </c>
      <c r="O9" s="23" t="s">
        <v>10</v>
      </c>
      <c r="P9" s="23"/>
      <c r="Q9" s="23"/>
      <c r="R9" s="23"/>
      <c r="S9" s="23"/>
      <c r="T9" s="23"/>
      <c r="U9" s="23" t="s">
        <v>10</v>
      </c>
      <c r="V9" s="23" t="s">
        <v>10</v>
      </c>
      <c r="W9" s="23"/>
      <c r="X9" s="23"/>
      <c r="Y9" s="23"/>
      <c r="Z9" s="23"/>
      <c r="AA9" s="23"/>
      <c r="AB9" s="23" t="s">
        <v>10</v>
      </c>
      <c r="AC9" s="23" t="s">
        <v>10</v>
      </c>
      <c r="AD9" s="23"/>
      <c r="AE9" s="23"/>
      <c r="AF9" s="23"/>
      <c r="AG9" s="23"/>
      <c r="AH9" s="26" t="str">
        <f>COUNTA(March5[[#This Row],[1]:[ ]])</f>
        <v>#ERROR!</v>
      </c>
    </row>
    <row r="10" ht="30.0" customHeight="1">
      <c r="B10" s="25" t="s">
        <v>3</v>
      </c>
      <c r="C10" s="23"/>
      <c r="D10" s="23"/>
      <c r="E10" s="23"/>
      <c r="F10" s="23"/>
      <c r="G10" s="23" t="s">
        <v>10</v>
      </c>
      <c r="H10" s="23" t="s">
        <v>10</v>
      </c>
      <c r="I10" s="23"/>
      <c r="J10" s="23"/>
      <c r="K10" s="23"/>
      <c r="L10" s="23"/>
      <c r="M10" s="23"/>
      <c r="N10" s="23" t="s">
        <v>10</v>
      </c>
      <c r="O10" s="23" t="s">
        <v>10</v>
      </c>
      <c r="P10" s="23"/>
      <c r="Q10" s="23"/>
      <c r="R10" s="23"/>
      <c r="S10" s="23"/>
      <c r="T10" s="23"/>
      <c r="U10" s="23" t="s">
        <v>10</v>
      </c>
      <c r="V10" s="23" t="s">
        <v>10</v>
      </c>
      <c r="W10" s="23"/>
      <c r="X10" s="23"/>
      <c r="Y10" s="23"/>
      <c r="Z10" s="23"/>
      <c r="AA10" s="23"/>
      <c r="AB10" s="23" t="s">
        <v>10</v>
      </c>
      <c r="AC10" s="23" t="s">
        <v>10</v>
      </c>
      <c r="AD10" s="23"/>
      <c r="AE10" s="23"/>
      <c r="AF10" s="23"/>
      <c r="AG10" s="23"/>
      <c r="AH10" s="26" t="str">
        <f>COUNTA(March5[[#This Row],[1]:[ ]])</f>
        <v>#ERROR!</v>
      </c>
    </row>
    <row r="11" ht="30.0" customHeight="1">
      <c r="B11" s="25" t="s">
        <v>4</v>
      </c>
      <c r="C11" s="23"/>
      <c r="D11" s="23"/>
      <c r="E11" s="23"/>
      <c r="F11" s="23"/>
      <c r="G11" s="23" t="s">
        <v>10</v>
      </c>
      <c r="H11" s="23" t="s">
        <v>10</v>
      </c>
      <c r="I11" s="23"/>
      <c r="J11" s="23"/>
      <c r="K11" s="23"/>
      <c r="L11" s="23"/>
      <c r="M11" s="23"/>
      <c r="N11" s="23" t="s">
        <v>10</v>
      </c>
      <c r="O11" s="23" t="s">
        <v>10</v>
      </c>
      <c r="P11" s="23"/>
      <c r="Q11" s="23"/>
      <c r="R11" s="23"/>
      <c r="S11" s="23"/>
      <c r="T11" s="23"/>
      <c r="U11" s="23" t="s">
        <v>10</v>
      </c>
      <c r="V11" s="23" t="s">
        <v>10</v>
      </c>
      <c r="W11" s="23"/>
      <c r="X11" s="23"/>
      <c r="Y11" s="23"/>
      <c r="Z11" s="23"/>
      <c r="AA11" s="23"/>
      <c r="AB11" s="23" t="s">
        <v>10</v>
      </c>
      <c r="AC11" s="23" t="s">
        <v>10</v>
      </c>
      <c r="AD11" s="23"/>
      <c r="AE11" s="23"/>
      <c r="AF11" s="23"/>
      <c r="AG11" s="23"/>
      <c r="AH11" s="26" t="str">
        <f>COUNTA(March5[[#This Row],[1]:[ ]])</f>
        <v>#ERROR!</v>
      </c>
    </row>
    <row r="12" ht="30.0" customHeight="1">
      <c r="B12" s="25" t="s">
        <v>5</v>
      </c>
      <c r="C12" s="23"/>
      <c r="D12" s="23"/>
      <c r="E12" s="23"/>
      <c r="F12" s="23"/>
      <c r="G12" s="23" t="s">
        <v>10</v>
      </c>
      <c r="H12" s="23" t="s">
        <v>10</v>
      </c>
      <c r="I12" s="23"/>
      <c r="J12" s="23"/>
      <c r="K12" s="23"/>
      <c r="L12" s="23"/>
      <c r="M12" s="23"/>
      <c r="N12" s="23" t="s">
        <v>10</v>
      </c>
      <c r="O12" s="23" t="s">
        <v>10</v>
      </c>
      <c r="P12" s="23"/>
      <c r="Q12" s="23"/>
      <c r="R12" s="23"/>
      <c r="S12" s="23"/>
      <c r="T12" s="23"/>
      <c r="U12" s="23" t="s">
        <v>10</v>
      </c>
      <c r="V12" s="23" t="s">
        <v>10</v>
      </c>
      <c r="W12" s="23"/>
      <c r="X12" s="23"/>
      <c r="Y12" s="23"/>
      <c r="Z12" s="23"/>
      <c r="AA12" s="23"/>
      <c r="AB12" s="23" t="s">
        <v>10</v>
      </c>
      <c r="AC12" s="23" t="s">
        <v>10</v>
      </c>
      <c r="AD12" s="23"/>
      <c r="AE12" s="23"/>
      <c r="AF12" s="23"/>
      <c r="AG12" s="23"/>
      <c r="AH12" s="26" t="str">
        <f>COUNTA(March5[[#This Row],[1]:[ ]])</f>
        <v>#ERROR!</v>
      </c>
    </row>
    <row r="13" ht="30.0" customHeight="1">
      <c r="B13" s="25" t="s">
        <v>6</v>
      </c>
      <c r="C13" s="23"/>
      <c r="D13" s="23"/>
      <c r="E13" s="23"/>
      <c r="F13" s="23"/>
      <c r="G13" s="23" t="s">
        <v>10</v>
      </c>
      <c r="H13" s="23" t="s">
        <v>10</v>
      </c>
      <c r="I13" s="23"/>
      <c r="J13" s="23"/>
      <c r="K13" s="23"/>
      <c r="L13" s="23"/>
      <c r="M13" s="23"/>
      <c r="N13" s="23" t="s">
        <v>10</v>
      </c>
      <c r="O13" s="23" t="s">
        <v>10</v>
      </c>
      <c r="P13" s="23"/>
      <c r="Q13" s="23"/>
      <c r="R13" s="23"/>
      <c r="S13" s="23"/>
      <c r="T13" s="23"/>
      <c r="U13" s="23" t="s">
        <v>10</v>
      </c>
      <c r="V13" s="23" t="s">
        <v>10</v>
      </c>
      <c r="W13" s="23"/>
      <c r="X13" s="23"/>
      <c r="Y13" s="23"/>
      <c r="Z13" s="23"/>
      <c r="AA13" s="23"/>
      <c r="AB13" s="23" t="s">
        <v>10</v>
      </c>
      <c r="AC13" s="23" t="s">
        <v>10</v>
      </c>
      <c r="AD13" s="23"/>
      <c r="AE13" s="23"/>
      <c r="AF13" s="23"/>
      <c r="AG13" s="23"/>
      <c r="AH13" s="26" t="str">
        <f>COUNTA(March5[[#This Row],[1]:[ ]])</f>
        <v>#ERROR!</v>
      </c>
    </row>
    <row r="14" ht="30.0" customHeight="1">
      <c r="B14" s="27" t="s">
        <v>49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8" t="str">
        <f>SUBTOTAL(109,March5[Total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F13 I9:M13 P9:T13 W9:AA13 AD9:AG13">
    <cfRule type="expression" dxfId="4" priority="1" stopIfTrue="1">
      <formula>C9=""</formula>
    </cfRule>
  </conditionalFormatting>
  <conditionalFormatting sqref="G9:H13">
    <cfRule type="expression" dxfId="4" priority="2" stopIfTrue="1">
      <formula>G9=""</formula>
    </cfRule>
  </conditionalFormatting>
  <conditionalFormatting sqref="N9:O13">
    <cfRule type="expression" dxfId="4" priority="3" stopIfTrue="1">
      <formula>N9=""</formula>
    </cfRule>
  </conditionalFormatting>
  <conditionalFormatting sqref="U9:V13">
    <cfRule type="expression" dxfId="4" priority="4" stopIfTrue="1">
      <formula>U9=""</formula>
    </cfRule>
  </conditionalFormatting>
  <conditionalFormatting sqref="AB9:AC13">
    <cfRule type="expression" dxfId="4" priority="5" stopIfTrue="1">
      <formula>AB9=""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1BF92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3" t="s">
        <v>55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30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TEXT(WEEKDAY(DATE(CalendarYear,5,1),1),"ddd")</f>
        <v>Thu</v>
      </c>
      <c r="D7" s="21" t="str">
        <f>TEXT(WEEKDAY(DATE(CalendarYear,5,2),1),"ddd")</f>
        <v>Fri</v>
      </c>
      <c r="E7" s="21" t="str">
        <f>TEXT(WEEKDAY(DATE(CalendarYear,5,3),1),"ddd")</f>
        <v>Sat</v>
      </c>
      <c r="F7" s="21" t="str">
        <f>TEXT(WEEKDAY(DATE(CalendarYear,5,4),1),"ddd")</f>
        <v>Sun</v>
      </c>
      <c r="G7" s="21" t="str">
        <f>TEXT(WEEKDAY(DATE(CalendarYear,5,5),1),"ddd")</f>
        <v>Mon</v>
      </c>
      <c r="H7" s="21" t="str">
        <f>TEXT(WEEKDAY(DATE(CalendarYear,5,6),1),"ddd")</f>
        <v>Tue</v>
      </c>
      <c r="I7" s="21" t="str">
        <f>TEXT(WEEKDAY(DATE(CalendarYear,5,7),1),"ddd")</f>
        <v>Wed</v>
      </c>
      <c r="J7" s="21" t="str">
        <f>TEXT(WEEKDAY(DATE(CalendarYear,5,8),1),"ddd")</f>
        <v>Thu</v>
      </c>
      <c r="K7" s="21" t="str">
        <f>TEXT(WEEKDAY(DATE(CalendarYear,5,9),1),"ddd")</f>
        <v>Fri</v>
      </c>
      <c r="L7" s="21" t="str">
        <f>TEXT(WEEKDAY(DATE(CalendarYear,5,10),1),"ddd")</f>
        <v>Sat</v>
      </c>
      <c r="M7" s="21" t="str">
        <f>TEXT(WEEKDAY(DATE(CalendarYear,5,11),1),"ddd")</f>
        <v>Sun</v>
      </c>
      <c r="N7" s="21" t="str">
        <f>TEXT(WEEKDAY(DATE(CalendarYear,5,12),1),"ddd")</f>
        <v>Mon</v>
      </c>
      <c r="O7" s="21" t="str">
        <f>TEXT(WEEKDAY(DATE(CalendarYear,5,13),1),"ddd")</f>
        <v>Tue</v>
      </c>
      <c r="P7" s="21" t="str">
        <f>TEXT(WEEKDAY(DATE(CalendarYear,5,14),1),"ddd")</f>
        <v>Wed</v>
      </c>
      <c r="Q7" s="21" t="str">
        <f>TEXT(WEEKDAY(DATE(CalendarYear,5,15),1),"ddd")</f>
        <v>Thu</v>
      </c>
      <c r="R7" s="21" t="str">
        <f>TEXT(WEEKDAY(DATE(CalendarYear,5,16),1),"ddd")</f>
        <v>Fri</v>
      </c>
      <c r="S7" s="21" t="str">
        <f>TEXT(WEEKDAY(DATE(CalendarYear,5,17),1),"ddd")</f>
        <v>Sat</v>
      </c>
      <c r="T7" s="21" t="str">
        <f>TEXT(WEEKDAY(DATE(CalendarYear,5,18),1),"ddd")</f>
        <v>Sun</v>
      </c>
      <c r="U7" s="21" t="str">
        <f>TEXT(WEEKDAY(DATE(CalendarYear,5,19),1),"ddd")</f>
        <v>Mon</v>
      </c>
      <c r="V7" s="21" t="str">
        <f>TEXT(WEEKDAY(DATE(CalendarYear,5,20),1),"ddd")</f>
        <v>Tue</v>
      </c>
      <c r="W7" s="21" t="str">
        <f>TEXT(WEEKDAY(DATE(CalendarYear,5,21),1),"ddd")</f>
        <v>Wed</v>
      </c>
      <c r="X7" s="21" t="str">
        <f>TEXT(WEEKDAY(DATE(CalendarYear,5,22),1),"ddd")</f>
        <v>Thu</v>
      </c>
      <c r="Y7" s="21" t="str">
        <f>TEXT(WEEKDAY(DATE(CalendarYear,5,23),1),"ddd")</f>
        <v>Fri</v>
      </c>
      <c r="Z7" s="21" t="str">
        <f>TEXT(WEEKDAY(DATE(CalendarYear,5,24),1),"ddd")</f>
        <v>Sat</v>
      </c>
      <c r="AA7" s="21" t="str">
        <f>TEXT(WEEKDAY(DATE(CalendarYear,5,25),1),"ddd")</f>
        <v>Sun</v>
      </c>
      <c r="AB7" s="21" t="str">
        <f>TEXT(WEEKDAY(DATE(CalendarYear,5,26),1),"ddd")</f>
        <v>Mon</v>
      </c>
      <c r="AC7" s="21" t="str">
        <f>TEXT(WEEKDAY(DATE(CalendarYear,5,27),1),"ddd")</f>
        <v>Tue</v>
      </c>
      <c r="AD7" s="21" t="str">
        <f>TEXT(WEEKDAY(DATE(CalendarYear,5,28),1),"ddd")</f>
        <v>Wed</v>
      </c>
      <c r="AE7" s="21" t="str">
        <f>TEXT(WEEKDAY(DATE(CalendarYear,5,29),1),"ddd")</f>
        <v>Thu</v>
      </c>
      <c r="AF7" s="21" t="str">
        <f>TEXT(WEEKDAY(DATE(CalendarYear,5,30),1),"ddd")</f>
        <v>Fri</v>
      </c>
      <c r="AG7" s="21" t="str">
        <f>TEXT(WEEKDAY(DATE(CalendarYear,5,31),1),"ddd")</f>
        <v>Sat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48</v>
      </c>
    </row>
    <row r="9" ht="30.0" customHeight="1">
      <c r="B9" s="25" t="s">
        <v>2</v>
      </c>
      <c r="C9" s="23"/>
      <c r="D9" s="23"/>
      <c r="E9" s="23" t="s">
        <v>10</v>
      </c>
      <c r="F9" s="23" t="s">
        <v>10</v>
      </c>
      <c r="G9" s="23"/>
      <c r="H9" s="23"/>
      <c r="I9" s="23"/>
      <c r="J9" s="23"/>
      <c r="K9" s="23"/>
      <c r="L9" s="23" t="s">
        <v>10</v>
      </c>
      <c r="M9" s="23" t="s">
        <v>10</v>
      </c>
      <c r="N9" s="23"/>
      <c r="O9" s="23"/>
      <c r="P9" s="23"/>
      <c r="Q9" s="23"/>
      <c r="R9" s="23"/>
      <c r="S9" s="23" t="s">
        <v>10</v>
      </c>
      <c r="T9" s="23" t="s">
        <v>10</v>
      </c>
      <c r="U9" s="23"/>
      <c r="V9" s="23"/>
      <c r="W9" s="23"/>
      <c r="X9" s="23"/>
      <c r="Y9" s="23"/>
      <c r="Z9" s="23" t="s">
        <v>10</v>
      </c>
      <c r="AA9" s="23" t="s">
        <v>10</v>
      </c>
      <c r="AB9" s="23"/>
      <c r="AC9" s="23"/>
      <c r="AD9" s="23"/>
      <c r="AE9" s="23"/>
      <c r="AF9" s="23"/>
      <c r="AG9" s="23"/>
      <c r="AH9" s="26" t="str">
        <f>COUNTA(March58[[#This Row],[1]:[31]])</f>
        <v>#ERROR!</v>
      </c>
    </row>
    <row r="10" ht="30.0" customHeight="1">
      <c r="B10" s="25" t="s">
        <v>3</v>
      </c>
      <c r="C10" s="23"/>
      <c r="D10" s="23"/>
      <c r="E10" s="23" t="s">
        <v>10</v>
      </c>
      <c r="F10" s="23" t="s">
        <v>10</v>
      </c>
      <c r="G10" s="23"/>
      <c r="H10" s="23"/>
      <c r="I10" s="23"/>
      <c r="J10" s="23"/>
      <c r="K10" s="23"/>
      <c r="L10" s="23" t="s">
        <v>10</v>
      </c>
      <c r="M10" s="23" t="s">
        <v>10</v>
      </c>
      <c r="N10" s="23"/>
      <c r="O10" s="23"/>
      <c r="P10" s="23"/>
      <c r="Q10" s="23"/>
      <c r="R10" s="23"/>
      <c r="S10" s="23" t="s">
        <v>10</v>
      </c>
      <c r="T10" s="23" t="s">
        <v>10</v>
      </c>
      <c r="U10" s="23"/>
      <c r="V10" s="23"/>
      <c r="W10" s="23"/>
      <c r="X10" s="23"/>
      <c r="Y10" s="23"/>
      <c r="Z10" s="23" t="s">
        <v>10</v>
      </c>
      <c r="AA10" s="23" t="s">
        <v>10</v>
      </c>
      <c r="AB10" s="23"/>
      <c r="AC10" s="23"/>
      <c r="AD10" s="23"/>
      <c r="AE10" s="23"/>
      <c r="AF10" s="23"/>
      <c r="AG10" s="23"/>
      <c r="AH10" s="26" t="str">
        <f>COUNTA(March58[[#This Row],[1]:[31]])</f>
        <v>#ERROR!</v>
      </c>
    </row>
    <row r="11" ht="30.0" customHeight="1">
      <c r="B11" s="25" t="s">
        <v>4</v>
      </c>
      <c r="C11" s="23"/>
      <c r="D11" s="23"/>
      <c r="E11" s="23" t="s">
        <v>10</v>
      </c>
      <c r="F11" s="23" t="s">
        <v>10</v>
      </c>
      <c r="G11" s="23"/>
      <c r="H11" s="23"/>
      <c r="I11" s="23"/>
      <c r="J11" s="23"/>
      <c r="K11" s="23"/>
      <c r="L11" s="23" t="s">
        <v>10</v>
      </c>
      <c r="M11" s="23" t="s">
        <v>10</v>
      </c>
      <c r="N11" s="23"/>
      <c r="O11" s="23"/>
      <c r="P11" s="23"/>
      <c r="Q11" s="23"/>
      <c r="R11" s="23"/>
      <c r="S11" s="23" t="s">
        <v>10</v>
      </c>
      <c r="T11" s="23" t="s">
        <v>10</v>
      </c>
      <c r="U11" s="23"/>
      <c r="V11" s="23"/>
      <c r="W11" s="23"/>
      <c r="X11" s="23"/>
      <c r="Y11" s="23"/>
      <c r="Z11" s="23" t="s">
        <v>10</v>
      </c>
      <c r="AA11" s="23" t="s">
        <v>10</v>
      </c>
      <c r="AB11" s="23"/>
      <c r="AC11" s="23"/>
      <c r="AD11" s="23"/>
      <c r="AE11" s="23"/>
      <c r="AF11" s="23"/>
      <c r="AG11" s="23"/>
      <c r="AH11" s="26" t="str">
        <f>COUNTA(March58[[#This Row],[1]:[31]])</f>
        <v>#ERROR!</v>
      </c>
    </row>
    <row r="12" ht="30.0" customHeight="1">
      <c r="B12" s="25" t="s">
        <v>5</v>
      </c>
      <c r="C12" s="23"/>
      <c r="D12" s="23"/>
      <c r="E12" s="23" t="s">
        <v>10</v>
      </c>
      <c r="F12" s="23" t="s">
        <v>10</v>
      </c>
      <c r="G12" s="23"/>
      <c r="H12" s="23"/>
      <c r="I12" s="23"/>
      <c r="J12" s="23"/>
      <c r="K12" s="23"/>
      <c r="L12" s="23" t="s">
        <v>10</v>
      </c>
      <c r="M12" s="23" t="s">
        <v>10</v>
      </c>
      <c r="N12" s="23"/>
      <c r="O12" s="23"/>
      <c r="P12" s="23"/>
      <c r="Q12" s="23"/>
      <c r="R12" s="23"/>
      <c r="S12" s="23" t="s">
        <v>10</v>
      </c>
      <c r="T12" s="23" t="s">
        <v>10</v>
      </c>
      <c r="U12" s="23"/>
      <c r="V12" s="23"/>
      <c r="W12" s="23"/>
      <c r="X12" s="23"/>
      <c r="Y12" s="23"/>
      <c r="Z12" s="23" t="s">
        <v>10</v>
      </c>
      <c r="AA12" s="23" t="s">
        <v>10</v>
      </c>
      <c r="AB12" s="23"/>
      <c r="AC12" s="23"/>
      <c r="AD12" s="23"/>
      <c r="AE12" s="23"/>
      <c r="AF12" s="23"/>
      <c r="AG12" s="23"/>
      <c r="AH12" s="26" t="str">
        <f>COUNTA(March58[[#This Row],[1]:[31]])</f>
        <v>#ERROR!</v>
      </c>
    </row>
    <row r="13" ht="30.0" customHeight="1">
      <c r="B13" s="25" t="s">
        <v>6</v>
      </c>
      <c r="C13" s="23"/>
      <c r="D13" s="23"/>
      <c r="E13" s="23" t="s">
        <v>10</v>
      </c>
      <c r="F13" s="23" t="s">
        <v>10</v>
      </c>
      <c r="G13" s="23"/>
      <c r="H13" s="23"/>
      <c r="I13" s="23"/>
      <c r="J13" s="23"/>
      <c r="K13" s="23"/>
      <c r="L13" s="23" t="s">
        <v>10</v>
      </c>
      <c r="M13" s="23" t="s">
        <v>10</v>
      </c>
      <c r="N13" s="23"/>
      <c r="O13" s="23"/>
      <c r="P13" s="23"/>
      <c r="Q13" s="23"/>
      <c r="R13" s="23"/>
      <c r="S13" s="23" t="s">
        <v>10</v>
      </c>
      <c r="T13" s="23" t="s">
        <v>10</v>
      </c>
      <c r="U13" s="23"/>
      <c r="V13" s="23"/>
      <c r="W13" s="23"/>
      <c r="X13" s="23"/>
      <c r="Y13" s="23"/>
      <c r="Z13" s="23" t="s">
        <v>10</v>
      </c>
      <c r="AA13" s="23" t="s">
        <v>10</v>
      </c>
      <c r="AB13" s="23"/>
      <c r="AC13" s="23"/>
      <c r="AD13" s="23"/>
      <c r="AE13" s="23"/>
      <c r="AF13" s="23"/>
      <c r="AG13" s="23"/>
      <c r="AH13" s="26" t="str">
        <f>COUNTA(March58[[#This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SUBTOTAL(109,March58[Total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D13 G9:K13 N9:R13 U9:Y13 AB9:AG13">
    <cfRule type="expression" dxfId="4" priority="1" stopIfTrue="1">
      <formula>C9=""</formula>
    </cfRule>
  </conditionalFormatting>
  <conditionalFormatting sqref="E9:F13">
    <cfRule type="expression" dxfId="4" priority="2" stopIfTrue="1">
      <formula>E9=""</formula>
    </cfRule>
  </conditionalFormatting>
  <conditionalFormatting sqref="L9:M13">
    <cfRule type="expression" dxfId="4" priority="3" stopIfTrue="1">
      <formula>L9=""</formula>
    </cfRule>
  </conditionalFormatting>
  <conditionalFormatting sqref="S9:T13">
    <cfRule type="expression" dxfId="4" priority="4" stopIfTrue="1">
      <formula>S9=""</formula>
    </cfRule>
  </conditionalFormatting>
  <conditionalFormatting sqref="Z9:AA13">
    <cfRule type="expression" dxfId="4" priority="5" stopIfTrue="1">
      <formula>Z9=""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4" t="s">
        <v>56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TEXT(WEEKDAY(DATE(CalendarYear,6,1),1),"ddd")</f>
        <v>Sun</v>
      </c>
      <c r="D7" s="21" t="str">
        <f>TEXT(WEEKDAY(DATE(CalendarYear,6,2),1),"ddd")</f>
        <v>Mon</v>
      </c>
      <c r="E7" s="21" t="str">
        <f>TEXT(WEEKDAY(DATE(CalendarYear,6,3),1),"ddd")</f>
        <v>Tue</v>
      </c>
      <c r="F7" s="21" t="str">
        <f>TEXT(WEEKDAY(DATE(CalendarYear,6,4),1),"ddd")</f>
        <v>Wed</v>
      </c>
      <c r="G7" s="21" t="str">
        <f>TEXT(WEEKDAY(DATE(CalendarYear,6,5),1),"ddd")</f>
        <v>Thu</v>
      </c>
      <c r="H7" s="21" t="str">
        <f>TEXT(WEEKDAY(DATE(CalendarYear,6,6),1),"ddd")</f>
        <v>Fri</v>
      </c>
      <c r="I7" s="21" t="str">
        <f>TEXT(WEEKDAY(DATE(CalendarYear,6,7),1),"ddd")</f>
        <v>Sat</v>
      </c>
      <c r="J7" s="21" t="str">
        <f>TEXT(WEEKDAY(DATE(CalendarYear,6,8),1),"ddd")</f>
        <v>Sun</v>
      </c>
      <c r="K7" s="21" t="str">
        <f>TEXT(WEEKDAY(DATE(CalendarYear,6,9),1),"ddd")</f>
        <v>Mon</v>
      </c>
      <c r="L7" s="21" t="str">
        <f>TEXT(WEEKDAY(DATE(CalendarYear,6,10),1),"ddd")</f>
        <v>Tue</v>
      </c>
      <c r="M7" s="21" t="str">
        <f>TEXT(WEEKDAY(DATE(CalendarYear,6,11),1),"ddd")</f>
        <v>Wed</v>
      </c>
      <c r="N7" s="21" t="str">
        <f>TEXT(WEEKDAY(DATE(CalendarYear,6,12),1),"ddd")</f>
        <v>Thu</v>
      </c>
      <c r="O7" s="21" t="str">
        <f>TEXT(WEEKDAY(DATE(CalendarYear,6,13),1),"ddd")</f>
        <v>Fri</v>
      </c>
      <c r="P7" s="21" t="str">
        <f>TEXT(WEEKDAY(DATE(CalendarYear,6,14),1),"ddd")</f>
        <v>Sat</v>
      </c>
      <c r="Q7" s="21" t="str">
        <f>TEXT(WEEKDAY(DATE(CalendarYear,6,15),1),"ddd")</f>
        <v>Sun</v>
      </c>
      <c r="R7" s="21" t="str">
        <f>TEXT(WEEKDAY(DATE(CalendarYear,6,16),1),"ddd")</f>
        <v>Mon</v>
      </c>
      <c r="S7" s="21" t="str">
        <f>TEXT(WEEKDAY(DATE(CalendarYear,6,17),1),"ddd")</f>
        <v>Tue</v>
      </c>
      <c r="T7" s="21" t="str">
        <f>TEXT(WEEKDAY(DATE(CalendarYear,6,18),1),"ddd")</f>
        <v>Wed</v>
      </c>
      <c r="U7" s="21" t="str">
        <f>TEXT(WEEKDAY(DATE(CalendarYear,6,19),1),"ddd")</f>
        <v>Thu</v>
      </c>
      <c r="V7" s="21" t="str">
        <f>TEXT(WEEKDAY(DATE(CalendarYear,6,20),1),"ddd")</f>
        <v>Fri</v>
      </c>
      <c r="W7" s="21" t="str">
        <f>TEXT(WEEKDAY(DATE(CalendarYear,6,21),1),"ddd")</f>
        <v>Sat</v>
      </c>
      <c r="X7" s="21" t="str">
        <f>TEXT(WEEKDAY(DATE(CalendarYear,6,22),1),"ddd")</f>
        <v>Sun</v>
      </c>
      <c r="Y7" s="21" t="str">
        <f>TEXT(WEEKDAY(DATE(CalendarYear,6,23),1),"ddd")</f>
        <v>Mon</v>
      </c>
      <c r="Z7" s="21" t="str">
        <f>TEXT(WEEKDAY(DATE(CalendarYear,6,24),1),"ddd")</f>
        <v>Tue</v>
      </c>
      <c r="AA7" s="21" t="str">
        <f>TEXT(WEEKDAY(DATE(CalendarYear,6,25),1),"ddd")</f>
        <v>Wed</v>
      </c>
      <c r="AB7" s="21" t="str">
        <f>TEXT(WEEKDAY(DATE(CalendarYear,6,26),1),"ddd")</f>
        <v>Thu</v>
      </c>
      <c r="AC7" s="21" t="str">
        <f>TEXT(WEEKDAY(DATE(CalendarYear,6,27),1),"ddd")</f>
        <v>Fri</v>
      </c>
      <c r="AD7" s="21" t="str">
        <f>TEXT(WEEKDAY(DATE(CalendarYear,6,28),1),"ddd")</f>
        <v>Sat</v>
      </c>
      <c r="AE7" s="21" t="str">
        <f>TEXT(WEEKDAY(DATE(CalendarYear,6,29),1),"ddd")</f>
        <v>Sun</v>
      </c>
      <c r="AF7" s="21" t="str">
        <f>TEXT(WEEKDAY(DATE(CalendarYear,6,30),1),"ddd")</f>
        <v>Mon</v>
      </c>
      <c r="AG7" s="21"/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51</v>
      </c>
      <c r="AH8" s="24" t="s">
        <v>48</v>
      </c>
    </row>
    <row r="9" ht="30.0" customHeight="1">
      <c r="B9" s="25" t="s">
        <v>2</v>
      </c>
      <c r="C9" s="23"/>
      <c r="D9" s="23"/>
      <c r="E9" s="23"/>
      <c r="F9" s="23"/>
      <c r="G9" s="23"/>
      <c r="H9" s="23"/>
      <c r="I9" s="23" t="s">
        <v>10</v>
      </c>
      <c r="J9" s="23" t="s">
        <v>10</v>
      </c>
      <c r="K9" s="23"/>
      <c r="L9" s="23"/>
      <c r="M9" s="23"/>
      <c r="N9" s="23"/>
      <c r="O9" s="23"/>
      <c r="P9" s="23" t="s">
        <v>10</v>
      </c>
      <c r="Q9" s="23" t="s">
        <v>10</v>
      </c>
      <c r="R9" s="23"/>
      <c r="S9" s="23"/>
      <c r="T9" s="23"/>
      <c r="U9" s="23"/>
      <c r="V9" s="23"/>
      <c r="W9" s="23" t="s">
        <v>10</v>
      </c>
      <c r="X9" s="23" t="s">
        <v>10</v>
      </c>
      <c r="Y9" s="23"/>
      <c r="Z9" s="23"/>
      <c r="AA9" s="23"/>
      <c r="AB9" s="23"/>
      <c r="AC9" s="23"/>
      <c r="AD9" s="23" t="s">
        <v>10</v>
      </c>
      <c r="AE9" s="23" t="s">
        <v>10</v>
      </c>
      <c r="AF9" s="23"/>
      <c r="AG9" s="23"/>
      <c r="AH9" s="26" t="str">
        <f>COUNTA(Junio[[#This Row],[1]:[ ]])</f>
        <v>#ERROR!</v>
      </c>
    </row>
    <row r="10" ht="30.0" customHeight="1">
      <c r="B10" s="25" t="s">
        <v>3</v>
      </c>
      <c r="C10" s="23"/>
      <c r="D10" s="23"/>
      <c r="E10" s="23"/>
      <c r="F10" s="23"/>
      <c r="G10" s="23"/>
      <c r="H10" s="23"/>
      <c r="I10" s="23" t="s">
        <v>10</v>
      </c>
      <c r="J10" s="23" t="s">
        <v>10</v>
      </c>
      <c r="K10" s="23"/>
      <c r="L10" s="23"/>
      <c r="M10" s="23"/>
      <c r="N10" s="23"/>
      <c r="O10" s="23"/>
      <c r="P10" s="23" t="s">
        <v>10</v>
      </c>
      <c r="Q10" s="23" t="s">
        <v>10</v>
      </c>
      <c r="R10" s="23"/>
      <c r="S10" s="23"/>
      <c r="T10" s="23"/>
      <c r="U10" s="23"/>
      <c r="V10" s="23"/>
      <c r="W10" s="23" t="s">
        <v>10</v>
      </c>
      <c r="X10" s="23" t="s">
        <v>10</v>
      </c>
      <c r="Y10" s="23"/>
      <c r="Z10" s="23"/>
      <c r="AA10" s="23"/>
      <c r="AB10" s="23"/>
      <c r="AC10" s="23"/>
      <c r="AD10" s="23" t="s">
        <v>10</v>
      </c>
      <c r="AE10" s="23" t="s">
        <v>10</v>
      </c>
      <c r="AF10" s="23"/>
      <c r="AG10" s="23"/>
      <c r="AH10" s="26" t="str">
        <f>COUNTA(Junio[[#This Row],[1]:[ ]])</f>
        <v>#ERROR!</v>
      </c>
    </row>
    <row r="11" ht="30.0" customHeight="1">
      <c r="B11" s="25" t="s">
        <v>4</v>
      </c>
      <c r="C11" s="23"/>
      <c r="D11" s="23"/>
      <c r="E11" s="23"/>
      <c r="F11" s="23"/>
      <c r="G11" s="23"/>
      <c r="H11" s="23"/>
      <c r="I11" s="23" t="s">
        <v>10</v>
      </c>
      <c r="J11" s="23" t="s">
        <v>10</v>
      </c>
      <c r="K11" s="23"/>
      <c r="L11" s="23"/>
      <c r="M11" s="23"/>
      <c r="N11" s="23"/>
      <c r="O11" s="23"/>
      <c r="P11" s="23" t="s">
        <v>10</v>
      </c>
      <c r="Q11" s="23" t="s">
        <v>10</v>
      </c>
      <c r="R11" s="23"/>
      <c r="S11" s="23"/>
      <c r="T11" s="23"/>
      <c r="U11" s="23"/>
      <c r="V11" s="23"/>
      <c r="W11" s="23" t="s">
        <v>10</v>
      </c>
      <c r="X11" s="23" t="s">
        <v>10</v>
      </c>
      <c r="Y11" s="23"/>
      <c r="Z11" s="23"/>
      <c r="AA11" s="23"/>
      <c r="AB11" s="23"/>
      <c r="AC11" s="23"/>
      <c r="AD11" s="23" t="s">
        <v>10</v>
      </c>
      <c r="AE11" s="23" t="s">
        <v>10</v>
      </c>
      <c r="AF11" s="23"/>
      <c r="AG11" s="23"/>
      <c r="AH11" s="26" t="str">
        <f>COUNTA(Junio[[#This Row],[1]:[ ]])</f>
        <v>#ERROR!</v>
      </c>
    </row>
    <row r="12" ht="30.0" customHeight="1">
      <c r="B12" s="25" t="s">
        <v>5</v>
      </c>
      <c r="C12" s="23"/>
      <c r="D12" s="23"/>
      <c r="E12" s="23"/>
      <c r="F12" s="23"/>
      <c r="G12" s="23"/>
      <c r="H12" s="23"/>
      <c r="I12" s="23" t="s">
        <v>10</v>
      </c>
      <c r="J12" s="23" t="s">
        <v>10</v>
      </c>
      <c r="K12" s="23"/>
      <c r="L12" s="23"/>
      <c r="M12" s="23"/>
      <c r="N12" s="23"/>
      <c r="O12" s="23"/>
      <c r="P12" s="23" t="s">
        <v>10</v>
      </c>
      <c r="Q12" s="23" t="s">
        <v>10</v>
      </c>
      <c r="R12" s="23"/>
      <c r="S12" s="23"/>
      <c r="T12" s="23"/>
      <c r="U12" s="23"/>
      <c r="V12" s="23"/>
      <c r="W12" s="23" t="s">
        <v>10</v>
      </c>
      <c r="X12" s="23" t="s">
        <v>10</v>
      </c>
      <c r="Y12" s="23"/>
      <c r="Z12" s="23"/>
      <c r="AA12" s="23"/>
      <c r="AB12" s="23"/>
      <c r="AC12" s="23"/>
      <c r="AD12" s="23" t="s">
        <v>10</v>
      </c>
      <c r="AE12" s="23" t="s">
        <v>10</v>
      </c>
      <c r="AF12" s="23"/>
      <c r="AG12" s="23"/>
      <c r="AH12" s="26" t="str">
        <f>COUNTA(Junio[[#This Row],[1]:[ ]])</f>
        <v>#ERROR!</v>
      </c>
    </row>
    <row r="13" ht="30.0" customHeight="1">
      <c r="B13" s="25" t="s">
        <v>6</v>
      </c>
      <c r="C13" s="23"/>
      <c r="D13" s="23"/>
      <c r="E13" s="23"/>
      <c r="F13" s="23"/>
      <c r="G13" s="23"/>
      <c r="H13" s="23"/>
      <c r="I13" s="23" t="s">
        <v>10</v>
      </c>
      <c r="J13" s="23" t="s">
        <v>10</v>
      </c>
      <c r="K13" s="23"/>
      <c r="L13" s="23"/>
      <c r="M13" s="23"/>
      <c r="N13" s="23"/>
      <c r="O13" s="23"/>
      <c r="P13" s="23" t="s">
        <v>10</v>
      </c>
      <c r="Q13" s="23" t="s">
        <v>10</v>
      </c>
      <c r="R13" s="23"/>
      <c r="S13" s="23"/>
      <c r="T13" s="23"/>
      <c r="U13" s="23"/>
      <c r="V13" s="23"/>
      <c r="W13" s="23" t="s">
        <v>10</v>
      </c>
      <c r="X13" s="23" t="s">
        <v>10</v>
      </c>
      <c r="Y13" s="23"/>
      <c r="Z13" s="23"/>
      <c r="AA13" s="23"/>
      <c r="AB13" s="23"/>
      <c r="AC13" s="23"/>
      <c r="AD13" s="23" t="s">
        <v>10</v>
      </c>
      <c r="AE13" s="23" t="s">
        <v>10</v>
      </c>
      <c r="AF13" s="23"/>
      <c r="AG13" s="23"/>
      <c r="AH13" s="26" t="str">
        <f>COUNTA(Junio[[#This Row],[1]:[ 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SUBTOTAL(109,Junio[Total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H13 K9:O13 R9:V13 Y9:AC13 AF9:AG13">
    <cfRule type="expression" dxfId="4" priority="1" stopIfTrue="1">
      <formula>C9=""</formula>
    </cfRule>
  </conditionalFormatting>
  <conditionalFormatting sqref="I9:J13">
    <cfRule type="expression" dxfId="4" priority="2" stopIfTrue="1">
      <formula>I9=""</formula>
    </cfRule>
  </conditionalFormatting>
  <conditionalFormatting sqref="P9:Q13">
    <cfRule type="expression" dxfId="4" priority="3" stopIfTrue="1">
      <formula>P9=""</formula>
    </cfRule>
  </conditionalFormatting>
  <conditionalFormatting sqref="W9:X13">
    <cfRule type="expression" dxfId="4" priority="4" stopIfTrue="1">
      <formula>W9=""</formula>
    </cfRule>
  </conditionalFormatting>
  <conditionalFormatting sqref="AD9:AE13">
    <cfRule type="expression" dxfId="4" priority="5" stopIfTrue="1">
      <formula>AD9=""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5" t="s">
        <v>57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TEXT(WEEKDAY(DATE(CalendarYear,7,1),1),"ddd")</f>
        <v>Tue</v>
      </c>
      <c r="D7" s="21" t="str">
        <f>TEXT(WEEKDAY(DATE(CalendarYear,7,2),1),"ddd")</f>
        <v>Wed</v>
      </c>
      <c r="E7" s="21" t="str">
        <f>TEXT(WEEKDAY(DATE(CalendarYear,7,3),1),"ddd")</f>
        <v>Thu</v>
      </c>
      <c r="F7" s="21" t="str">
        <f>TEXT(WEEKDAY(DATE(CalendarYear,7,4),1),"ddd")</f>
        <v>Fri</v>
      </c>
      <c r="G7" s="21" t="str">
        <f>TEXT(WEEKDAY(DATE(CalendarYear,7,5),1),"ddd")</f>
        <v>Sat</v>
      </c>
      <c r="H7" s="21" t="str">
        <f>TEXT(WEEKDAY(DATE(CalendarYear,7,6),1),"ddd")</f>
        <v>Sun</v>
      </c>
      <c r="I7" s="21" t="str">
        <f>TEXT(WEEKDAY(DATE(CalendarYear,7,7),1),"ddd")</f>
        <v>Mon</v>
      </c>
      <c r="J7" s="21" t="str">
        <f>TEXT(WEEKDAY(DATE(CalendarYear,7,8),1),"ddd")</f>
        <v>Tue</v>
      </c>
      <c r="K7" s="21" t="str">
        <f>TEXT(WEEKDAY(DATE(CalendarYear,7,9),1),"ddd")</f>
        <v>Wed</v>
      </c>
      <c r="L7" s="21" t="str">
        <f>TEXT(WEEKDAY(DATE(CalendarYear,7,10),1),"ddd")</f>
        <v>Thu</v>
      </c>
      <c r="M7" s="21" t="str">
        <f>TEXT(WEEKDAY(DATE(CalendarYear,7,11),1),"ddd")</f>
        <v>Fri</v>
      </c>
      <c r="N7" s="21" t="str">
        <f>TEXT(WEEKDAY(DATE(CalendarYear,7,12),1),"ddd")</f>
        <v>Sat</v>
      </c>
      <c r="O7" s="21" t="str">
        <f>TEXT(WEEKDAY(DATE(CalendarYear,7,13),1),"ddd")</f>
        <v>Sun</v>
      </c>
      <c r="P7" s="21" t="str">
        <f>TEXT(WEEKDAY(DATE(CalendarYear,7,14),1),"ddd")</f>
        <v>Mon</v>
      </c>
      <c r="Q7" s="21" t="str">
        <f>TEXT(WEEKDAY(DATE(CalendarYear,7,15),1),"ddd")</f>
        <v>Tue</v>
      </c>
      <c r="R7" s="21" t="str">
        <f>TEXT(WEEKDAY(DATE(CalendarYear,7,16),1),"ddd")</f>
        <v>Wed</v>
      </c>
      <c r="S7" s="21" t="str">
        <f>TEXT(WEEKDAY(DATE(CalendarYear,7,17),1),"ddd")</f>
        <v>Thu</v>
      </c>
      <c r="T7" s="21" t="str">
        <f>TEXT(WEEKDAY(DATE(CalendarYear,7,18),1),"ddd")</f>
        <v>Fri</v>
      </c>
      <c r="U7" s="21" t="str">
        <f>TEXT(WEEKDAY(DATE(CalendarYear,7,19),1),"ddd")</f>
        <v>Sat</v>
      </c>
      <c r="V7" s="21" t="str">
        <f>TEXT(WEEKDAY(DATE(CalendarYear,7,20),1),"ddd")</f>
        <v>Sun</v>
      </c>
      <c r="W7" s="21" t="str">
        <f>TEXT(WEEKDAY(DATE(CalendarYear,7,21),1),"ddd")</f>
        <v>Mon</v>
      </c>
      <c r="X7" s="21" t="str">
        <f>TEXT(WEEKDAY(DATE(CalendarYear,7,22),1),"ddd")</f>
        <v>Tue</v>
      </c>
      <c r="Y7" s="21" t="str">
        <f>TEXT(WEEKDAY(DATE(CalendarYear,7,23),1),"ddd")</f>
        <v>Wed</v>
      </c>
      <c r="Z7" s="21" t="str">
        <f>TEXT(WEEKDAY(DATE(CalendarYear,7,24),1),"ddd")</f>
        <v>Thu</v>
      </c>
      <c r="AA7" s="21" t="str">
        <f>TEXT(WEEKDAY(DATE(CalendarYear,7,25),1),"ddd")</f>
        <v>Fri</v>
      </c>
      <c r="AB7" s="21" t="str">
        <f>TEXT(WEEKDAY(DATE(CalendarYear,7,26),1),"ddd")</f>
        <v>Sat</v>
      </c>
      <c r="AC7" s="21" t="str">
        <f>TEXT(WEEKDAY(DATE(CalendarYear,7,27),1),"ddd")</f>
        <v>Sun</v>
      </c>
      <c r="AD7" s="21" t="str">
        <f>TEXT(WEEKDAY(DATE(CalendarYear,7,28),1),"ddd")</f>
        <v>Mon</v>
      </c>
      <c r="AE7" s="21" t="str">
        <f>TEXT(WEEKDAY(DATE(CalendarYear,7,29),1),"ddd")</f>
        <v>Tue</v>
      </c>
      <c r="AF7" s="21" t="str">
        <f>TEXT(WEEKDAY(DATE(CalendarYear,7,30),1),"ddd")</f>
        <v>Wed</v>
      </c>
      <c r="AG7" s="21" t="str">
        <f>TEXT(WEEKDAY(DATE(CalendarYear,7,31),1),"ddd")</f>
        <v>Thu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48</v>
      </c>
    </row>
    <row r="9" ht="30.0" customHeight="1">
      <c r="B9" s="25" t="s">
        <v>2</v>
      </c>
      <c r="C9" s="23"/>
      <c r="D9" s="23"/>
      <c r="E9" s="23"/>
      <c r="F9" s="23"/>
      <c r="G9" s="23" t="s">
        <v>10</v>
      </c>
      <c r="H9" s="23" t="s">
        <v>10</v>
      </c>
      <c r="I9" s="23"/>
      <c r="J9" s="23"/>
      <c r="K9" s="23"/>
      <c r="L9" s="23"/>
      <c r="M9" s="23"/>
      <c r="N9" s="23" t="s">
        <v>10</v>
      </c>
      <c r="O9" s="23" t="s">
        <v>10</v>
      </c>
      <c r="P9" s="23"/>
      <c r="Q9" s="23"/>
      <c r="R9" s="23"/>
      <c r="S9" s="23"/>
      <c r="T9" s="23"/>
      <c r="U9" s="23" t="s">
        <v>10</v>
      </c>
      <c r="V9" s="23" t="s">
        <v>10</v>
      </c>
      <c r="W9" s="23"/>
      <c r="X9" s="23"/>
      <c r="Y9" s="23"/>
      <c r="Z9" s="23"/>
      <c r="AA9" s="23"/>
      <c r="AB9" s="23" t="s">
        <v>10</v>
      </c>
      <c r="AC9" s="23" t="s">
        <v>10</v>
      </c>
      <c r="AD9" s="23"/>
      <c r="AE9" s="23"/>
      <c r="AF9" s="23"/>
      <c r="AG9" s="23"/>
      <c r="AH9" s="26" t="str">
        <f>COUNTA(Julio[[#This Row],[1]:[31]])</f>
        <v>#ERROR!</v>
      </c>
    </row>
    <row r="10" ht="30.0" customHeight="1">
      <c r="B10" s="25" t="s">
        <v>3</v>
      </c>
      <c r="C10" s="23"/>
      <c r="D10" s="23"/>
      <c r="E10" s="23"/>
      <c r="F10" s="23"/>
      <c r="G10" s="23" t="s">
        <v>10</v>
      </c>
      <c r="H10" s="23" t="s">
        <v>10</v>
      </c>
      <c r="I10" s="23"/>
      <c r="J10" s="23"/>
      <c r="K10" s="23"/>
      <c r="L10" s="23"/>
      <c r="M10" s="23"/>
      <c r="N10" s="23" t="s">
        <v>10</v>
      </c>
      <c r="O10" s="23" t="s">
        <v>10</v>
      </c>
      <c r="P10" s="23"/>
      <c r="Q10" s="23"/>
      <c r="R10" s="23"/>
      <c r="S10" s="23"/>
      <c r="T10" s="23"/>
      <c r="U10" s="23" t="s">
        <v>10</v>
      </c>
      <c r="V10" s="23" t="s">
        <v>10</v>
      </c>
      <c r="W10" s="23"/>
      <c r="X10" s="23"/>
      <c r="Y10" s="23"/>
      <c r="Z10" s="23"/>
      <c r="AA10" s="23"/>
      <c r="AB10" s="23" t="s">
        <v>10</v>
      </c>
      <c r="AC10" s="23" t="s">
        <v>10</v>
      </c>
      <c r="AD10" s="23"/>
      <c r="AE10" s="23"/>
      <c r="AF10" s="23"/>
      <c r="AG10" s="23"/>
      <c r="AH10" s="26" t="str">
        <f>COUNTA(Julio[[#This Row],[1]:[31]])</f>
        <v>#ERROR!</v>
      </c>
    </row>
    <row r="11" ht="30.0" customHeight="1">
      <c r="B11" s="25" t="s">
        <v>4</v>
      </c>
      <c r="C11" s="23"/>
      <c r="D11" s="23"/>
      <c r="E11" s="23"/>
      <c r="F11" s="23"/>
      <c r="G11" s="23" t="s">
        <v>10</v>
      </c>
      <c r="H11" s="23" t="s">
        <v>10</v>
      </c>
      <c r="I11" s="23"/>
      <c r="J11" s="23"/>
      <c r="K11" s="23"/>
      <c r="L11" s="23"/>
      <c r="M11" s="23"/>
      <c r="N11" s="23" t="s">
        <v>10</v>
      </c>
      <c r="O11" s="23" t="s">
        <v>10</v>
      </c>
      <c r="P11" s="23"/>
      <c r="Q11" s="23"/>
      <c r="R11" s="23"/>
      <c r="S11" s="23"/>
      <c r="T11" s="23"/>
      <c r="U11" s="23" t="s">
        <v>10</v>
      </c>
      <c r="V11" s="23" t="s">
        <v>10</v>
      </c>
      <c r="W11" s="23"/>
      <c r="X11" s="23"/>
      <c r="Y11" s="23"/>
      <c r="Z11" s="23"/>
      <c r="AA11" s="23"/>
      <c r="AB11" s="23" t="s">
        <v>10</v>
      </c>
      <c r="AC11" s="23" t="s">
        <v>10</v>
      </c>
      <c r="AD11" s="23"/>
      <c r="AE11" s="23"/>
      <c r="AF11" s="23"/>
      <c r="AG11" s="23"/>
      <c r="AH11" s="26" t="str">
        <f>COUNTA(Julio[[#This Row],[1]:[31]])</f>
        <v>#ERROR!</v>
      </c>
    </row>
    <row r="12" ht="30.0" customHeight="1">
      <c r="B12" s="25" t="s">
        <v>5</v>
      </c>
      <c r="C12" s="23"/>
      <c r="D12" s="23"/>
      <c r="E12" s="23"/>
      <c r="F12" s="23"/>
      <c r="G12" s="23" t="s">
        <v>10</v>
      </c>
      <c r="H12" s="23" t="s">
        <v>10</v>
      </c>
      <c r="I12" s="23"/>
      <c r="J12" s="23"/>
      <c r="K12" s="23"/>
      <c r="L12" s="23"/>
      <c r="M12" s="23"/>
      <c r="N12" s="23" t="s">
        <v>10</v>
      </c>
      <c r="O12" s="23" t="s">
        <v>10</v>
      </c>
      <c r="P12" s="23"/>
      <c r="Q12" s="23"/>
      <c r="R12" s="23"/>
      <c r="S12" s="23"/>
      <c r="T12" s="23"/>
      <c r="U12" s="23" t="s">
        <v>10</v>
      </c>
      <c r="V12" s="23" t="s">
        <v>10</v>
      </c>
      <c r="W12" s="23"/>
      <c r="X12" s="23"/>
      <c r="Y12" s="23"/>
      <c r="Z12" s="23"/>
      <c r="AA12" s="23"/>
      <c r="AB12" s="23" t="s">
        <v>10</v>
      </c>
      <c r="AC12" s="23" t="s">
        <v>10</v>
      </c>
      <c r="AD12" s="23"/>
      <c r="AE12" s="23"/>
      <c r="AF12" s="23"/>
      <c r="AG12" s="23"/>
      <c r="AH12" s="26" t="str">
        <f>COUNTA(Julio[[#This Row],[1]:[31]])</f>
        <v>#ERROR!</v>
      </c>
    </row>
    <row r="13" ht="30.0" customHeight="1">
      <c r="B13" s="25" t="s">
        <v>6</v>
      </c>
      <c r="C13" s="23"/>
      <c r="D13" s="23"/>
      <c r="E13" s="23"/>
      <c r="F13" s="23"/>
      <c r="G13" s="23" t="s">
        <v>10</v>
      </c>
      <c r="H13" s="23" t="s">
        <v>10</v>
      </c>
      <c r="I13" s="23"/>
      <c r="J13" s="23"/>
      <c r="K13" s="23"/>
      <c r="L13" s="23"/>
      <c r="M13" s="23"/>
      <c r="N13" s="23" t="s">
        <v>10</v>
      </c>
      <c r="O13" s="23" t="s">
        <v>10</v>
      </c>
      <c r="P13" s="23"/>
      <c r="Q13" s="23"/>
      <c r="R13" s="23"/>
      <c r="S13" s="23"/>
      <c r="T13" s="23"/>
      <c r="U13" s="23" t="s">
        <v>10</v>
      </c>
      <c r="V13" s="23" t="s">
        <v>10</v>
      </c>
      <c r="W13" s="23"/>
      <c r="X13" s="23"/>
      <c r="Y13" s="23"/>
      <c r="Z13" s="23"/>
      <c r="AA13" s="23"/>
      <c r="AB13" s="23" t="s">
        <v>10</v>
      </c>
      <c r="AC13" s="23" t="s">
        <v>10</v>
      </c>
      <c r="AD13" s="23"/>
      <c r="AE13" s="23"/>
      <c r="AF13" s="23"/>
      <c r="AG13" s="23"/>
      <c r="AH13" s="26" t="str">
        <f>COUNTA(Julio[[#This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SUBTOTAL(109,Julio[Total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F13 I9:M13 P9:T13 W9:AA13 AD9:AG13">
    <cfRule type="expression" dxfId="4" priority="1" stopIfTrue="1">
      <formula>C9=""</formula>
    </cfRule>
  </conditionalFormatting>
  <conditionalFormatting sqref="G9:H13">
    <cfRule type="expression" dxfId="4" priority="2" stopIfTrue="1">
      <formula>G9=""</formula>
    </cfRule>
  </conditionalFormatting>
  <conditionalFormatting sqref="N9:O13">
    <cfRule type="expression" dxfId="4" priority="3" stopIfTrue="1">
      <formula>N9=""</formula>
    </cfRule>
  </conditionalFormatting>
  <conditionalFormatting sqref="U9:V13">
    <cfRule type="expression" dxfId="4" priority="4" stopIfTrue="1">
      <formula>U9=""</formula>
    </cfRule>
  </conditionalFormatting>
  <conditionalFormatting sqref="AB9:AC13">
    <cfRule type="expression" dxfId="4" priority="5" stopIfTrue="1">
      <formula>AB9=""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4" t="s">
        <v>58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TEXT(WEEKDAY(DATE(CalendarYear,8,1),1),"ddd")</f>
        <v>Fri</v>
      </c>
      <c r="D7" s="21" t="str">
        <f>TEXT(WEEKDAY(DATE(CalendarYear,8,2),1),"ddd")</f>
        <v>Sat</v>
      </c>
      <c r="E7" s="21" t="str">
        <f>TEXT(WEEKDAY(DATE(CalendarYear,8,3),1),"ddd")</f>
        <v>Sun</v>
      </c>
      <c r="F7" s="21" t="str">
        <f>TEXT(WEEKDAY(DATE(CalendarYear,8,4),1),"ddd")</f>
        <v>Mon</v>
      </c>
      <c r="G7" s="21" t="str">
        <f>TEXT(WEEKDAY(DATE(CalendarYear,8,5),1),"ddd")</f>
        <v>Tue</v>
      </c>
      <c r="H7" s="21" t="str">
        <f>TEXT(WEEKDAY(DATE(CalendarYear,8,6),1),"ddd")</f>
        <v>Wed</v>
      </c>
      <c r="I7" s="21" t="str">
        <f>TEXT(WEEKDAY(DATE(CalendarYear,8,7),1),"ddd")</f>
        <v>Thu</v>
      </c>
      <c r="J7" s="21" t="str">
        <f>TEXT(WEEKDAY(DATE(CalendarYear,8,8),1),"ddd")</f>
        <v>Fri</v>
      </c>
      <c r="K7" s="21" t="str">
        <f>TEXT(WEEKDAY(DATE(CalendarYear,8,9),1),"ddd")</f>
        <v>Sat</v>
      </c>
      <c r="L7" s="21" t="str">
        <f>TEXT(WEEKDAY(DATE(CalendarYear,8,10),1),"ddd")</f>
        <v>Sun</v>
      </c>
      <c r="M7" s="21" t="str">
        <f>TEXT(WEEKDAY(DATE(CalendarYear,8,11),1),"ddd")</f>
        <v>Mon</v>
      </c>
      <c r="N7" s="21" t="str">
        <f>TEXT(WEEKDAY(DATE(CalendarYear,8,12),1),"ddd")</f>
        <v>Tue</v>
      </c>
      <c r="O7" s="21" t="str">
        <f>TEXT(WEEKDAY(DATE(CalendarYear,8,13),1),"ddd")</f>
        <v>Wed</v>
      </c>
      <c r="P7" s="21" t="str">
        <f>TEXT(WEEKDAY(DATE(CalendarYear,8,14),1),"ddd")</f>
        <v>Thu</v>
      </c>
      <c r="Q7" s="21" t="str">
        <f>TEXT(WEEKDAY(DATE(CalendarYear,8,15),1),"ddd")</f>
        <v>Fri</v>
      </c>
      <c r="R7" s="21" t="str">
        <f>TEXT(WEEKDAY(DATE(CalendarYear,8,16),1),"ddd")</f>
        <v>Sat</v>
      </c>
      <c r="S7" s="21" t="str">
        <f>TEXT(WEEKDAY(DATE(CalendarYear,8,17),1),"ddd")</f>
        <v>Sun</v>
      </c>
      <c r="T7" s="21" t="str">
        <f>TEXT(WEEKDAY(DATE(CalendarYear,8,18),1),"ddd")</f>
        <v>Mon</v>
      </c>
      <c r="U7" s="21" t="str">
        <f>TEXT(WEEKDAY(DATE(CalendarYear,8,19),1),"ddd")</f>
        <v>Tue</v>
      </c>
      <c r="V7" s="21" t="str">
        <f>TEXT(WEEKDAY(DATE(CalendarYear,8,20),1),"ddd")</f>
        <v>Wed</v>
      </c>
      <c r="W7" s="21" t="str">
        <f>TEXT(WEEKDAY(DATE(CalendarYear,8,21),1),"ddd")</f>
        <v>Thu</v>
      </c>
      <c r="X7" s="21" t="str">
        <f>TEXT(WEEKDAY(DATE(CalendarYear,8,22),1),"ddd")</f>
        <v>Fri</v>
      </c>
      <c r="Y7" s="21" t="str">
        <f>TEXT(WEEKDAY(DATE(CalendarYear,8,23),1),"ddd")</f>
        <v>Sat</v>
      </c>
      <c r="Z7" s="21" t="str">
        <f>TEXT(WEEKDAY(DATE(CalendarYear,8,24),1),"ddd")</f>
        <v>Sun</v>
      </c>
      <c r="AA7" s="21" t="str">
        <f>TEXT(WEEKDAY(DATE(CalendarYear,8,25),1),"ddd")</f>
        <v>Mon</v>
      </c>
      <c r="AB7" s="21" t="str">
        <f>TEXT(WEEKDAY(DATE(CalendarYear,8,26),1),"ddd")</f>
        <v>Tue</v>
      </c>
      <c r="AC7" s="21" t="str">
        <f>TEXT(WEEKDAY(DATE(CalendarYear,8,27),1),"ddd")</f>
        <v>Wed</v>
      </c>
      <c r="AD7" s="21" t="str">
        <f>TEXT(WEEKDAY(DATE(CalendarYear,8,28),1),"ddd")</f>
        <v>Thu</v>
      </c>
      <c r="AE7" s="21" t="str">
        <f>TEXT(WEEKDAY(DATE(CalendarYear,8,29),1),"ddd")</f>
        <v>Fri</v>
      </c>
      <c r="AF7" s="21" t="str">
        <f>TEXT(WEEKDAY(DATE(CalendarYear,8,30),1),"ddd")</f>
        <v>Sat</v>
      </c>
      <c r="AG7" s="21" t="str">
        <f>TEXT(WEEKDAY(DATE(CalendarYear,8,31),1),"ddd")</f>
        <v>Sun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48</v>
      </c>
    </row>
    <row r="9" ht="30.0" customHeight="1">
      <c r="B9" s="25" t="s">
        <v>2</v>
      </c>
      <c r="C9" s="23"/>
      <c r="D9" s="23" t="s">
        <v>10</v>
      </c>
      <c r="E9" s="23" t="s">
        <v>10</v>
      </c>
      <c r="F9" s="23"/>
      <c r="G9" s="23"/>
      <c r="H9" s="23"/>
      <c r="I9" s="23"/>
      <c r="J9" s="23"/>
      <c r="K9" s="23" t="s">
        <v>10</v>
      </c>
      <c r="L9" s="23" t="s">
        <v>10</v>
      </c>
      <c r="M9" s="23"/>
      <c r="N9" s="23"/>
      <c r="O9" s="23"/>
      <c r="P9" s="23"/>
      <c r="Q9" s="23"/>
      <c r="R9" s="23" t="s">
        <v>10</v>
      </c>
      <c r="S9" s="23" t="s">
        <v>10</v>
      </c>
      <c r="T9" s="23"/>
      <c r="U9" s="23"/>
      <c r="V9" s="23"/>
      <c r="W9" s="23"/>
      <c r="X9" s="23"/>
      <c r="Y9" s="23" t="s">
        <v>10</v>
      </c>
      <c r="Z9" s="23" t="s">
        <v>10</v>
      </c>
      <c r="AA9" s="23"/>
      <c r="AB9" s="23"/>
      <c r="AC9" s="23"/>
      <c r="AD9" s="23"/>
      <c r="AE9" s="23"/>
      <c r="AF9" s="23" t="s">
        <v>10</v>
      </c>
      <c r="AG9" s="23" t="s">
        <v>10</v>
      </c>
      <c r="AH9" s="26" t="str">
        <f>COUNTA(Agosto[[#This Row],[1]:[31]])</f>
        <v>#ERROR!</v>
      </c>
    </row>
    <row r="10" ht="30.0" customHeight="1">
      <c r="B10" s="25" t="s">
        <v>3</v>
      </c>
      <c r="C10" s="23"/>
      <c r="D10" s="23" t="s">
        <v>10</v>
      </c>
      <c r="E10" s="23" t="s">
        <v>10</v>
      </c>
      <c r="F10" s="23"/>
      <c r="G10" s="23"/>
      <c r="H10" s="23"/>
      <c r="I10" s="23"/>
      <c r="J10" s="23"/>
      <c r="K10" s="23" t="s">
        <v>10</v>
      </c>
      <c r="L10" s="23" t="s">
        <v>10</v>
      </c>
      <c r="M10" s="23"/>
      <c r="N10" s="23"/>
      <c r="O10" s="23"/>
      <c r="P10" s="23"/>
      <c r="Q10" s="23"/>
      <c r="R10" s="23" t="s">
        <v>10</v>
      </c>
      <c r="S10" s="23" t="s">
        <v>10</v>
      </c>
      <c r="T10" s="23"/>
      <c r="U10" s="23"/>
      <c r="V10" s="23"/>
      <c r="W10" s="23"/>
      <c r="X10" s="23"/>
      <c r="Y10" s="23" t="s">
        <v>10</v>
      </c>
      <c r="Z10" s="23" t="s">
        <v>10</v>
      </c>
      <c r="AA10" s="23"/>
      <c r="AB10" s="23"/>
      <c r="AC10" s="23"/>
      <c r="AD10" s="23"/>
      <c r="AE10" s="23"/>
      <c r="AF10" s="23" t="s">
        <v>10</v>
      </c>
      <c r="AG10" s="23" t="s">
        <v>10</v>
      </c>
      <c r="AH10" s="26" t="str">
        <f>COUNTA(Agosto[[#This Row],[1]:[31]])</f>
        <v>#ERROR!</v>
      </c>
    </row>
    <row r="11" ht="30.0" customHeight="1">
      <c r="B11" s="25" t="s">
        <v>4</v>
      </c>
      <c r="C11" s="23"/>
      <c r="D11" s="23" t="s">
        <v>10</v>
      </c>
      <c r="E11" s="23" t="s">
        <v>10</v>
      </c>
      <c r="F11" s="23"/>
      <c r="G11" s="23"/>
      <c r="H11" s="23"/>
      <c r="I11" s="23"/>
      <c r="J11" s="23"/>
      <c r="K11" s="23" t="s">
        <v>10</v>
      </c>
      <c r="L11" s="23" t="s">
        <v>10</v>
      </c>
      <c r="M11" s="23"/>
      <c r="N11" s="23"/>
      <c r="O11" s="23"/>
      <c r="P11" s="23"/>
      <c r="Q11" s="23"/>
      <c r="R11" s="23" t="s">
        <v>10</v>
      </c>
      <c r="S11" s="23" t="s">
        <v>10</v>
      </c>
      <c r="T11" s="23"/>
      <c r="U11" s="23"/>
      <c r="V11" s="23"/>
      <c r="W11" s="23"/>
      <c r="X11" s="23"/>
      <c r="Y11" s="23" t="s">
        <v>10</v>
      </c>
      <c r="Z11" s="23" t="s">
        <v>10</v>
      </c>
      <c r="AA11" s="23"/>
      <c r="AB11" s="23"/>
      <c r="AC11" s="23"/>
      <c r="AD11" s="23"/>
      <c r="AE11" s="23"/>
      <c r="AF11" s="23" t="s">
        <v>10</v>
      </c>
      <c r="AG11" s="23" t="s">
        <v>10</v>
      </c>
      <c r="AH11" s="26" t="str">
        <f>COUNTA(Agosto[[#This Row],[1]:[31]])</f>
        <v>#ERROR!</v>
      </c>
    </row>
    <row r="12" ht="30.0" customHeight="1">
      <c r="B12" s="25" t="s">
        <v>5</v>
      </c>
      <c r="C12" s="23"/>
      <c r="D12" s="23" t="s">
        <v>10</v>
      </c>
      <c r="E12" s="23" t="s">
        <v>10</v>
      </c>
      <c r="F12" s="23"/>
      <c r="G12" s="23"/>
      <c r="H12" s="23"/>
      <c r="I12" s="23"/>
      <c r="J12" s="23"/>
      <c r="K12" s="23" t="s">
        <v>10</v>
      </c>
      <c r="L12" s="23" t="s">
        <v>10</v>
      </c>
      <c r="M12" s="23"/>
      <c r="N12" s="23"/>
      <c r="O12" s="23"/>
      <c r="P12" s="23"/>
      <c r="Q12" s="23"/>
      <c r="R12" s="23" t="s">
        <v>10</v>
      </c>
      <c r="S12" s="23" t="s">
        <v>10</v>
      </c>
      <c r="T12" s="23"/>
      <c r="U12" s="23"/>
      <c r="V12" s="23"/>
      <c r="W12" s="23"/>
      <c r="X12" s="23"/>
      <c r="Y12" s="23" t="s">
        <v>10</v>
      </c>
      <c r="Z12" s="23" t="s">
        <v>10</v>
      </c>
      <c r="AA12" s="23"/>
      <c r="AB12" s="23"/>
      <c r="AC12" s="23"/>
      <c r="AD12" s="23"/>
      <c r="AE12" s="23"/>
      <c r="AF12" s="23" t="s">
        <v>10</v>
      </c>
      <c r="AG12" s="23" t="s">
        <v>10</v>
      </c>
      <c r="AH12" s="26" t="str">
        <f>COUNTA(Agosto[[#This Row],[1]:[31]])</f>
        <v>#ERROR!</v>
      </c>
    </row>
    <row r="13" ht="30.0" customHeight="1">
      <c r="B13" s="25" t="s">
        <v>6</v>
      </c>
      <c r="C13" s="23"/>
      <c r="D13" s="23" t="s">
        <v>10</v>
      </c>
      <c r="E13" s="23" t="s">
        <v>10</v>
      </c>
      <c r="F13" s="23"/>
      <c r="G13" s="23"/>
      <c r="H13" s="23"/>
      <c r="I13" s="23"/>
      <c r="J13" s="23"/>
      <c r="K13" s="23" t="s">
        <v>10</v>
      </c>
      <c r="L13" s="23" t="s">
        <v>10</v>
      </c>
      <c r="M13" s="23"/>
      <c r="N13" s="23"/>
      <c r="O13" s="23"/>
      <c r="P13" s="23"/>
      <c r="Q13" s="23"/>
      <c r="R13" s="23" t="s">
        <v>10</v>
      </c>
      <c r="S13" s="23" t="s">
        <v>10</v>
      </c>
      <c r="T13" s="23"/>
      <c r="U13" s="23"/>
      <c r="V13" s="23"/>
      <c r="W13" s="23"/>
      <c r="X13" s="23"/>
      <c r="Y13" s="23" t="s">
        <v>10</v>
      </c>
      <c r="Z13" s="23" t="s">
        <v>10</v>
      </c>
      <c r="AA13" s="23"/>
      <c r="AB13" s="23"/>
      <c r="AC13" s="23"/>
      <c r="AD13" s="23"/>
      <c r="AE13" s="23"/>
      <c r="AF13" s="23" t="s">
        <v>10</v>
      </c>
      <c r="AG13" s="23" t="s">
        <v>10</v>
      </c>
      <c r="AH13" s="26" t="str">
        <f>COUNTA(Agosto[[#This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SUBTOTAL(109,Agosto[Total de días])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C13 F9:J13 M9:Q13 T9:X13 AA9:AE13">
    <cfRule type="expression" dxfId="4" priority="1" stopIfTrue="1">
      <formula>C9=""</formula>
    </cfRule>
  </conditionalFormatting>
  <conditionalFormatting sqref="D9:E13">
    <cfRule type="expression" dxfId="4" priority="2" stopIfTrue="1">
      <formula>D9=""</formula>
    </cfRule>
  </conditionalFormatting>
  <conditionalFormatting sqref="K9:L13">
    <cfRule type="expression" dxfId="4" priority="3" stopIfTrue="1">
      <formula>K9=""</formula>
    </cfRule>
  </conditionalFormatting>
  <conditionalFormatting sqref="R9:S13">
    <cfRule type="expression" dxfId="4" priority="4" stopIfTrue="1">
      <formula>R9=""</formula>
    </cfRule>
  </conditionalFormatting>
  <conditionalFormatting sqref="Y9:Z13">
    <cfRule type="expression" dxfId="4" priority="5" stopIfTrue="1">
      <formula>Y9=""</formula>
    </cfRule>
  </conditionalFormatting>
  <conditionalFormatting sqref="AF9:AG13">
    <cfRule type="expression" dxfId="4" priority="6" stopIfTrue="1">
      <formula>AF9=""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6" t="s">
        <v>59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TEXT(WEEKDAY(DATE(CalendarYear,9,1),1),"ddd")</f>
        <v>Mon</v>
      </c>
      <c r="D7" s="21" t="str">
        <f>TEXT(WEEKDAY(DATE(CalendarYear,9,2),1),"ddd")</f>
        <v>Tue</v>
      </c>
      <c r="E7" s="21" t="str">
        <f>TEXT(WEEKDAY(DATE(CalendarYear,9,3),1),"ddd")</f>
        <v>Wed</v>
      </c>
      <c r="F7" s="21" t="str">
        <f>TEXT(WEEKDAY(DATE(CalendarYear,9,4),1),"ddd")</f>
        <v>Thu</v>
      </c>
      <c r="G7" s="21" t="str">
        <f>TEXT(WEEKDAY(DATE(CalendarYear,9,5),1),"ddd")</f>
        <v>Fri</v>
      </c>
      <c r="H7" s="21" t="str">
        <f>TEXT(WEEKDAY(DATE(CalendarYear,9,6),1),"ddd")</f>
        <v>Sat</v>
      </c>
      <c r="I7" s="21" t="str">
        <f>TEXT(WEEKDAY(DATE(CalendarYear,9,7),1),"ddd")</f>
        <v>Sun</v>
      </c>
      <c r="J7" s="21" t="str">
        <f>TEXT(WEEKDAY(DATE(CalendarYear,9,8),1),"ddd")</f>
        <v>Mon</v>
      </c>
      <c r="K7" s="21" t="str">
        <f>TEXT(WEEKDAY(DATE(CalendarYear,9,9),1),"ddd")</f>
        <v>Tue</v>
      </c>
      <c r="L7" s="21" t="str">
        <f>TEXT(WEEKDAY(DATE(CalendarYear,9,10),1),"ddd")</f>
        <v>Wed</v>
      </c>
      <c r="M7" s="21" t="str">
        <f>TEXT(WEEKDAY(DATE(CalendarYear,9,11),1),"ddd")</f>
        <v>Thu</v>
      </c>
      <c r="N7" s="21" t="str">
        <f>TEXT(WEEKDAY(DATE(CalendarYear,9,12),1),"ddd")</f>
        <v>Fri</v>
      </c>
      <c r="O7" s="21" t="str">
        <f>TEXT(WEEKDAY(DATE(CalendarYear,9,13),1),"ddd")</f>
        <v>Sat</v>
      </c>
      <c r="P7" s="21" t="str">
        <f>TEXT(WEEKDAY(DATE(CalendarYear,9,14),1),"ddd")</f>
        <v>Sun</v>
      </c>
      <c r="Q7" s="21" t="str">
        <f>TEXT(WEEKDAY(DATE(CalendarYear,9,15),1),"ddd")</f>
        <v>Mon</v>
      </c>
      <c r="R7" s="21" t="str">
        <f>TEXT(WEEKDAY(DATE(CalendarYear,9,16),1),"ddd")</f>
        <v>Tue</v>
      </c>
      <c r="S7" s="21" t="str">
        <f>TEXT(WEEKDAY(DATE(CalendarYear,9,17),1),"ddd")</f>
        <v>Wed</v>
      </c>
      <c r="T7" s="21" t="str">
        <f>TEXT(WEEKDAY(DATE(CalendarYear,9,18),1),"ddd")</f>
        <v>Thu</v>
      </c>
      <c r="U7" s="21" t="str">
        <f>TEXT(WEEKDAY(DATE(CalendarYear,9,19),1),"ddd")</f>
        <v>Fri</v>
      </c>
      <c r="V7" s="21" t="str">
        <f>TEXT(WEEKDAY(DATE(CalendarYear,9,20),1),"ddd")</f>
        <v>Sat</v>
      </c>
      <c r="W7" s="21" t="str">
        <f>TEXT(WEEKDAY(DATE(CalendarYear,9,21),1),"ddd")</f>
        <v>Sun</v>
      </c>
      <c r="X7" s="21" t="str">
        <f>TEXT(WEEKDAY(DATE(CalendarYear,9,22),1),"ddd")</f>
        <v>Mon</v>
      </c>
      <c r="Y7" s="21" t="str">
        <f>TEXT(WEEKDAY(DATE(CalendarYear,9,23),1),"ddd")</f>
        <v>Tue</v>
      </c>
      <c r="Z7" s="21" t="str">
        <f>TEXT(WEEKDAY(DATE(CalendarYear,9,24),1),"ddd")</f>
        <v>Wed</v>
      </c>
      <c r="AA7" s="21" t="str">
        <f>TEXT(WEEKDAY(DATE(CalendarYear,9,25),1),"ddd")</f>
        <v>Thu</v>
      </c>
      <c r="AB7" s="21" t="str">
        <f>TEXT(WEEKDAY(DATE(CalendarYear,9,26),1),"ddd")</f>
        <v>Fri</v>
      </c>
      <c r="AC7" s="21" t="str">
        <f>TEXT(WEEKDAY(DATE(CalendarYear,9,27),1),"ddd")</f>
        <v>Sat</v>
      </c>
      <c r="AD7" s="21" t="str">
        <f>TEXT(WEEKDAY(DATE(CalendarYear,9,28),1),"ddd")</f>
        <v>Sun</v>
      </c>
      <c r="AE7" s="21" t="str">
        <f>TEXT(WEEKDAY(DATE(CalendarYear,9,29),1),"ddd")</f>
        <v>Mon</v>
      </c>
      <c r="AF7" s="21" t="str">
        <f>TEXT(WEEKDAY(DATE(CalendarYear,9,30),1),"ddd")</f>
        <v>Tue</v>
      </c>
      <c r="AG7" s="21"/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51</v>
      </c>
      <c r="AH8" s="24" t="s">
        <v>60</v>
      </c>
    </row>
    <row r="9" ht="30.0" customHeight="1">
      <c r="B9" s="25" t="s">
        <v>2</v>
      </c>
      <c r="C9" s="23"/>
      <c r="D9" s="23"/>
      <c r="E9" s="23"/>
      <c r="F9" s="23"/>
      <c r="G9" s="23"/>
      <c r="H9" s="23" t="s">
        <v>10</v>
      </c>
      <c r="I9" s="23" t="s">
        <v>10</v>
      </c>
      <c r="J9" s="23"/>
      <c r="K9" s="23"/>
      <c r="L9" s="23"/>
      <c r="M9" s="23"/>
      <c r="N9" s="23"/>
      <c r="O9" s="23" t="s">
        <v>10</v>
      </c>
      <c r="P9" s="23" t="s">
        <v>10</v>
      </c>
      <c r="Q9" s="23"/>
      <c r="R9" s="23"/>
      <c r="S9" s="23"/>
      <c r="T9" s="23"/>
      <c r="U9" s="23"/>
      <c r="V9" s="23" t="s">
        <v>10</v>
      </c>
      <c r="W9" s="23" t="s">
        <v>10</v>
      </c>
      <c r="X9" s="23"/>
      <c r="Y9" s="23"/>
      <c r="Z9" s="23"/>
      <c r="AA9" s="23"/>
      <c r="AB9" s="23"/>
      <c r="AC9" s="23" t="s">
        <v>10</v>
      </c>
      <c r="AD9" s="23" t="s">
        <v>10</v>
      </c>
      <c r="AE9" s="23"/>
      <c r="AF9" s="23"/>
      <c r="AG9" s="23"/>
      <c r="AH9" s="26" t="str">
        <f>SUM(Septiembre[[#This Row],[1]:[ ]])</f>
        <v>#ERROR!</v>
      </c>
    </row>
    <row r="10" ht="30.0" customHeight="1">
      <c r="B10" s="25" t="s">
        <v>3</v>
      </c>
      <c r="C10" s="23"/>
      <c r="D10" s="23"/>
      <c r="E10" s="23"/>
      <c r="F10" s="23"/>
      <c r="G10" s="23"/>
      <c r="H10" s="23" t="s">
        <v>10</v>
      </c>
      <c r="I10" s="23" t="s">
        <v>10</v>
      </c>
      <c r="J10" s="23"/>
      <c r="K10" s="23"/>
      <c r="L10" s="23"/>
      <c r="M10" s="23"/>
      <c r="N10" s="23"/>
      <c r="O10" s="23" t="s">
        <v>10</v>
      </c>
      <c r="P10" s="23" t="s">
        <v>10</v>
      </c>
      <c r="Q10" s="23"/>
      <c r="R10" s="23"/>
      <c r="S10" s="23"/>
      <c r="T10" s="23"/>
      <c r="U10" s="23"/>
      <c r="V10" s="23" t="s">
        <v>10</v>
      </c>
      <c r="W10" s="23" t="s">
        <v>10</v>
      </c>
      <c r="X10" s="23"/>
      <c r="Y10" s="23"/>
      <c r="Z10" s="23"/>
      <c r="AA10" s="23"/>
      <c r="AB10" s="23"/>
      <c r="AC10" s="23" t="s">
        <v>10</v>
      </c>
      <c r="AD10" s="23" t="s">
        <v>10</v>
      </c>
      <c r="AE10" s="23"/>
      <c r="AF10" s="23"/>
      <c r="AG10" s="23"/>
      <c r="AH10" s="26" t="str">
        <f>SUM(Septiembre[[#This Row],[1]:[ ]])</f>
        <v>#ERROR!</v>
      </c>
    </row>
    <row r="11" ht="30.0" customHeight="1">
      <c r="B11" s="25" t="s">
        <v>4</v>
      </c>
      <c r="C11" s="23"/>
      <c r="D11" s="23"/>
      <c r="E11" s="23"/>
      <c r="F11" s="23"/>
      <c r="G11" s="23"/>
      <c r="H11" s="23" t="s">
        <v>10</v>
      </c>
      <c r="I11" s="23" t="s">
        <v>10</v>
      </c>
      <c r="J11" s="23"/>
      <c r="K11" s="23"/>
      <c r="L11" s="23"/>
      <c r="M11" s="23"/>
      <c r="N11" s="23"/>
      <c r="O11" s="23" t="s">
        <v>10</v>
      </c>
      <c r="P11" s="23" t="s">
        <v>10</v>
      </c>
      <c r="Q11" s="23"/>
      <c r="R11" s="23"/>
      <c r="S11" s="23"/>
      <c r="T11" s="23"/>
      <c r="U11" s="23"/>
      <c r="V11" s="23" t="s">
        <v>10</v>
      </c>
      <c r="W11" s="23" t="s">
        <v>10</v>
      </c>
      <c r="X11" s="23"/>
      <c r="Y11" s="23"/>
      <c r="Z11" s="23"/>
      <c r="AA11" s="23"/>
      <c r="AB11" s="23"/>
      <c r="AC11" s="23" t="s">
        <v>10</v>
      </c>
      <c r="AD11" s="23" t="s">
        <v>10</v>
      </c>
      <c r="AE11" s="23"/>
      <c r="AF11" s="23"/>
      <c r="AG11" s="23"/>
      <c r="AH11" s="26" t="str">
        <f>SUM(Septiembre[[#This Row],[1]:[ ]])</f>
        <v>#ERROR!</v>
      </c>
    </row>
    <row r="12" ht="30.0" customHeight="1">
      <c r="B12" s="25" t="s">
        <v>5</v>
      </c>
      <c r="C12" s="23"/>
      <c r="D12" s="23"/>
      <c r="E12" s="23"/>
      <c r="F12" s="23"/>
      <c r="G12" s="23"/>
      <c r="H12" s="23" t="s">
        <v>10</v>
      </c>
      <c r="I12" s="23" t="s">
        <v>10</v>
      </c>
      <c r="J12" s="23"/>
      <c r="K12" s="23"/>
      <c r="L12" s="23"/>
      <c r="M12" s="23"/>
      <c r="N12" s="23"/>
      <c r="O12" s="23" t="s">
        <v>10</v>
      </c>
      <c r="P12" s="23" t="s">
        <v>10</v>
      </c>
      <c r="Q12" s="23"/>
      <c r="R12" s="23"/>
      <c r="S12" s="23"/>
      <c r="T12" s="23"/>
      <c r="U12" s="23"/>
      <c r="V12" s="23" t="s">
        <v>10</v>
      </c>
      <c r="W12" s="23" t="s">
        <v>10</v>
      </c>
      <c r="X12" s="23"/>
      <c r="Y12" s="23"/>
      <c r="Z12" s="23"/>
      <c r="AA12" s="23"/>
      <c r="AB12" s="23"/>
      <c r="AC12" s="23" t="s">
        <v>10</v>
      </c>
      <c r="AD12" s="23" t="s">
        <v>10</v>
      </c>
      <c r="AE12" s="23"/>
      <c r="AF12" s="23"/>
      <c r="AG12" s="23"/>
      <c r="AH12" s="26" t="str">
        <f>SUM(Septiembre[[#This Row],[1]:[ ]])</f>
        <v>#ERROR!</v>
      </c>
    </row>
    <row r="13" ht="30.0" customHeight="1">
      <c r="B13" s="25" t="s">
        <v>6</v>
      </c>
      <c r="C13" s="23"/>
      <c r="D13" s="23"/>
      <c r="E13" s="23"/>
      <c r="F13" s="23"/>
      <c r="G13" s="23"/>
      <c r="H13" s="23" t="s">
        <v>10</v>
      </c>
      <c r="I13" s="23" t="s">
        <v>10</v>
      </c>
      <c r="J13" s="23"/>
      <c r="K13" s="23"/>
      <c r="L13" s="23"/>
      <c r="M13" s="23"/>
      <c r="N13" s="23"/>
      <c r="O13" s="23" t="s">
        <v>10</v>
      </c>
      <c r="P13" s="23" t="s">
        <v>10</v>
      </c>
      <c r="Q13" s="23"/>
      <c r="R13" s="23"/>
      <c r="S13" s="23"/>
      <c r="T13" s="23"/>
      <c r="U13" s="23"/>
      <c r="V13" s="23" t="s">
        <v>10</v>
      </c>
      <c r="W13" s="23" t="s">
        <v>10</v>
      </c>
      <c r="X13" s="23"/>
      <c r="Y13" s="23"/>
      <c r="Z13" s="23"/>
      <c r="AA13" s="23"/>
      <c r="AB13" s="23"/>
      <c r="AC13" s="23" t="s">
        <v>10</v>
      </c>
      <c r="AD13" s="23" t="s">
        <v>10</v>
      </c>
      <c r="AE13" s="23"/>
      <c r="AF13" s="23"/>
      <c r="AG13" s="23"/>
      <c r="AH13" s="26" t="str">
        <f>SUM(Septiembre[[#This Row],[1]:[ 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SUBTOTAL(109,Septiembre[Total de horas])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F13 J9:N13 Q9:U13 X9:AB13 AE9:AG13">
    <cfRule type="expression" dxfId="4" priority="1" stopIfTrue="1">
      <formula>C9=""</formula>
    </cfRule>
  </conditionalFormatting>
  <conditionalFormatting sqref="G9:G13">
    <cfRule type="expression" dxfId="4" priority="2" stopIfTrue="1">
      <formula>G9=""</formula>
    </cfRule>
  </conditionalFormatting>
  <conditionalFormatting sqref="H9:I13">
    <cfRule type="expression" dxfId="4" priority="3" stopIfTrue="1">
      <formula>H9=""</formula>
    </cfRule>
  </conditionalFormatting>
  <conditionalFormatting sqref="O9:P13">
    <cfRule type="expression" dxfId="4" priority="4" stopIfTrue="1">
      <formula>O9=""</formula>
    </cfRule>
  </conditionalFormatting>
  <conditionalFormatting sqref="V9:W13">
    <cfRule type="expression" dxfId="4" priority="5" stopIfTrue="1">
      <formula>V9=""</formula>
    </cfRule>
  </conditionalFormatting>
  <conditionalFormatting sqref="AC9:AD13">
    <cfRule type="expression" dxfId="4" priority="6" stopIfTrue="1">
      <formula>AC9=""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6" t="s">
        <v>61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TEXT(WEEKDAY(DATE(CalendarYear,10,1),1),"ddd")</f>
        <v>Wed</v>
      </c>
      <c r="D7" s="21" t="str">
        <f>TEXT(WEEKDAY(DATE(CalendarYear,10,2),1),"ddd")</f>
        <v>Thu</v>
      </c>
      <c r="E7" s="21" t="str">
        <f>TEXT(WEEKDAY(DATE(CalendarYear,10,3),1),"ddd")</f>
        <v>Fri</v>
      </c>
      <c r="F7" s="21" t="str">
        <f>TEXT(WEEKDAY(DATE(CalendarYear,10,4),1),"ddd")</f>
        <v>Sat</v>
      </c>
      <c r="G7" s="21" t="str">
        <f>TEXT(WEEKDAY(DATE(CalendarYear,10,5),1),"ddd")</f>
        <v>Sun</v>
      </c>
      <c r="H7" s="21" t="str">
        <f>TEXT(WEEKDAY(DATE(CalendarYear,10,6),1),"ddd")</f>
        <v>Mon</v>
      </c>
      <c r="I7" s="21" t="str">
        <f>TEXT(WEEKDAY(DATE(CalendarYear,10,7),1),"ddd")</f>
        <v>Tue</v>
      </c>
      <c r="J7" s="21" t="str">
        <f>TEXT(WEEKDAY(DATE(CalendarYear,10,8),1),"ddd")</f>
        <v>Wed</v>
      </c>
      <c r="K7" s="21" t="str">
        <f>TEXT(WEEKDAY(DATE(CalendarYear,10,9),1),"ddd")</f>
        <v>Thu</v>
      </c>
      <c r="L7" s="21" t="str">
        <f>TEXT(WEEKDAY(DATE(CalendarYear,10,10),1),"ddd")</f>
        <v>Fri</v>
      </c>
      <c r="M7" s="21" t="str">
        <f>TEXT(WEEKDAY(DATE(CalendarYear,10,11),1),"ddd")</f>
        <v>Sat</v>
      </c>
      <c r="N7" s="21" t="str">
        <f>TEXT(WEEKDAY(DATE(CalendarYear,10,12),1),"ddd")</f>
        <v>Sun</v>
      </c>
      <c r="O7" s="21" t="str">
        <f>TEXT(WEEKDAY(DATE(CalendarYear,10,13),1),"ddd")</f>
        <v>Mon</v>
      </c>
      <c r="P7" s="21" t="str">
        <f>TEXT(WEEKDAY(DATE(CalendarYear,10,14),1),"ddd")</f>
        <v>Tue</v>
      </c>
      <c r="Q7" s="21" t="str">
        <f>TEXT(WEEKDAY(DATE(CalendarYear,10,15),1),"ddd")</f>
        <v>Wed</v>
      </c>
      <c r="R7" s="21" t="str">
        <f>TEXT(WEEKDAY(DATE(CalendarYear,10,16),1),"ddd")</f>
        <v>Thu</v>
      </c>
      <c r="S7" s="21" t="str">
        <f>TEXT(WEEKDAY(DATE(CalendarYear,10,17),1),"ddd")</f>
        <v>Fri</v>
      </c>
      <c r="T7" s="21" t="str">
        <f>TEXT(WEEKDAY(DATE(CalendarYear,10,18),1),"ddd")</f>
        <v>Sat</v>
      </c>
      <c r="U7" s="21" t="str">
        <f>TEXT(WEEKDAY(DATE(CalendarYear,10,19),1),"ddd")</f>
        <v>Sun</v>
      </c>
      <c r="V7" s="21" t="str">
        <f>TEXT(WEEKDAY(DATE(CalendarYear,10,20),1),"ddd")</f>
        <v>Mon</v>
      </c>
      <c r="W7" s="21" t="str">
        <f>TEXT(WEEKDAY(DATE(CalendarYear,10,21),1),"ddd")</f>
        <v>Tue</v>
      </c>
      <c r="X7" s="21" t="str">
        <f>TEXT(WEEKDAY(DATE(CalendarYear,10,22),1),"ddd")</f>
        <v>Wed</v>
      </c>
      <c r="Y7" s="21" t="str">
        <f>TEXT(WEEKDAY(DATE(CalendarYear,10,23),1),"ddd")</f>
        <v>Thu</v>
      </c>
      <c r="Z7" s="21" t="str">
        <f>TEXT(WEEKDAY(DATE(CalendarYear,10,24),1),"ddd")</f>
        <v>Fri</v>
      </c>
      <c r="AA7" s="21" t="str">
        <f>TEXT(WEEKDAY(DATE(CalendarYear,10,25),1),"ddd")</f>
        <v>Sat</v>
      </c>
      <c r="AB7" s="21" t="str">
        <f>TEXT(WEEKDAY(DATE(CalendarYear,10,26),1),"ddd")</f>
        <v>Sun</v>
      </c>
      <c r="AC7" s="21" t="str">
        <f>TEXT(WEEKDAY(DATE(CalendarYear,10,27),1),"ddd")</f>
        <v>Mon</v>
      </c>
      <c r="AD7" s="21" t="str">
        <f>TEXT(WEEKDAY(DATE(CalendarYear,10,28),1),"ddd")</f>
        <v>Tue</v>
      </c>
      <c r="AE7" s="21" t="str">
        <f>TEXT(WEEKDAY(DATE(CalendarYear,10,29),1),"ddd")</f>
        <v>Wed</v>
      </c>
      <c r="AF7" s="21" t="str">
        <f>TEXT(WEEKDAY(DATE(CalendarYear,10,30),1),"ddd")</f>
        <v>Thu</v>
      </c>
      <c r="AG7" s="21" t="str">
        <f>TEXT(WEEKDAY(DATE(CalendarYear,10,31),1),"ddd")</f>
        <v>Fri</v>
      </c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60</v>
      </c>
    </row>
    <row r="9" ht="30.0" customHeight="1">
      <c r="B9" s="25" t="s">
        <v>2</v>
      </c>
      <c r="C9" s="23"/>
      <c r="D9" s="23"/>
      <c r="E9" s="23"/>
      <c r="F9" s="23" t="s">
        <v>10</v>
      </c>
      <c r="G9" s="23" t="s">
        <v>10</v>
      </c>
      <c r="H9" s="23">
        <v>0.0</v>
      </c>
      <c r="I9" s="23">
        <v>0.0</v>
      </c>
      <c r="J9" s="23">
        <v>1.0</v>
      </c>
      <c r="K9" s="23">
        <v>0.0</v>
      </c>
      <c r="L9" s="23">
        <v>1.0</v>
      </c>
      <c r="M9" s="23" t="s">
        <v>10</v>
      </c>
      <c r="N9" s="23" t="s">
        <v>10</v>
      </c>
      <c r="O9" s="23">
        <v>0.0</v>
      </c>
      <c r="P9" s="23">
        <v>1.0</v>
      </c>
      <c r="Q9" s="23">
        <v>1.0</v>
      </c>
      <c r="R9" s="23">
        <v>3.0</v>
      </c>
      <c r="S9" s="23">
        <v>1.0</v>
      </c>
      <c r="T9" s="23" t="s">
        <v>10</v>
      </c>
      <c r="U9" s="23" t="s">
        <v>10</v>
      </c>
      <c r="V9" s="23">
        <v>0.0</v>
      </c>
      <c r="W9" s="23">
        <v>0.0</v>
      </c>
      <c r="X9" s="23">
        <v>0.0</v>
      </c>
      <c r="Y9" s="23">
        <v>2.0</v>
      </c>
      <c r="Z9" s="23">
        <v>0.0</v>
      </c>
      <c r="AA9" s="23" t="s">
        <v>10</v>
      </c>
      <c r="AB9" s="23" t="s">
        <v>10</v>
      </c>
      <c r="AC9" s="37" t="s">
        <v>12</v>
      </c>
      <c r="AD9" s="37" t="s">
        <v>12</v>
      </c>
      <c r="AE9" s="37" t="s">
        <v>12</v>
      </c>
      <c r="AF9" s="37" t="s">
        <v>12</v>
      </c>
      <c r="AG9" s="37" t="s">
        <v>12</v>
      </c>
      <c r="AH9" s="26" t="str">
        <f>SUM(Octubre[[#This Row],[1]:[31]])</f>
        <v>#ERROR!</v>
      </c>
    </row>
    <row r="10" ht="30.0" customHeight="1">
      <c r="B10" s="25" t="s">
        <v>3</v>
      </c>
      <c r="C10" s="23"/>
      <c r="D10" s="23"/>
      <c r="E10" s="23"/>
      <c r="F10" s="23" t="s">
        <v>10</v>
      </c>
      <c r="G10" s="23" t="s">
        <v>10</v>
      </c>
      <c r="H10" s="23">
        <v>0.0</v>
      </c>
      <c r="I10" s="23">
        <v>0.0</v>
      </c>
      <c r="J10" s="23">
        <v>0.0</v>
      </c>
      <c r="K10" s="23">
        <v>0.0</v>
      </c>
      <c r="L10" s="23">
        <v>1.0</v>
      </c>
      <c r="M10" s="23" t="s">
        <v>10</v>
      </c>
      <c r="N10" s="23" t="s">
        <v>10</v>
      </c>
      <c r="O10" s="23">
        <v>0.0</v>
      </c>
      <c r="P10" s="23">
        <v>0.0</v>
      </c>
      <c r="Q10" s="23">
        <v>3.0</v>
      </c>
      <c r="R10" s="23">
        <v>0.0</v>
      </c>
      <c r="S10" s="23">
        <v>2.0</v>
      </c>
      <c r="T10" s="23" t="s">
        <v>10</v>
      </c>
      <c r="U10" s="23" t="s">
        <v>10</v>
      </c>
      <c r="V10" s="23">
        <v>1.0</v>
      </c>
      <c r="W10" s="23">
        <v>0.0</v>
      </c>
      <c r="X10" s="23">
        <v>0.0</v>
      </c>
      <c r="Y10" s="23">
        <v>1.0</v>
      </c>
      <c r="Z10" s="23">
        <v>1.0</v>
      </c>
      <c r="AA10" s="23" t="s">
        <v>10</v>
      </c>
      <c r="AB10" s="23" t="s">
        <v>10</v>
      </c>
      <c r="AC10" s="37" t="s">
        <v>12</v>
      </c>
      <c r="AD10" s="37" t="s">
        <v>12</v>
      </c>
      <c r="AE10" s="37" t="s">
        <v>12</v>
      </c>
      <c r="AF10" s="37" t="s">
        <v>12</v>
      </c>
      <c r="AG10" s="37" t="s">
        <v>12</v>
      </c>
      <c r="AH10" s="26" t="str">
        <f>SUM(Octubre[[#This Row],[1]:[31]])</f>
        <v>#ERROR!</v>
      </c>
    </row>
    <row r="11" ht="30.0" customHeight="1">
      <c r="B11" s="25" t="s">
        <v>4</v>
      </c>
      <c r="C11" s="23"/>
      <c r="D11" s="23"/>
      <c r="E11" s="23"/>
      <c r="F11" s="23" t="s">
        <v>10</v>
      </c>
      <c r="G11" s="23" t="s">
        <v>10</v>
      </c>
      <c r="H11" s="23">
        <v>0.0</v>
      </c>
      <c r="I11" s="23">
        <v>0.0</v>
      </c>
      <c r="J11" s="23">
        <v>1.0</v>
      </c>
      <c r="K11" s="23">
        <v>1.0</v>
      </c>
      <c r="L11" s="23">
        <v>0.0</v>
      </c>
      <c r="M11" s="23" t="s">
        <v>10</v>
      </c>
      <c r="N11" s="23" t="s">
        <v>10</v>
      </c>
      <c r="O11" s="23">
        <v>1.0</v>
      </c>
      <c r="P11" s="23">
        <v>1.0</v>
      </c>
      <c r="Q11" s="23">
        <v>0.0</v>
      </c>
      <c r="R11" s="23">
        <v>0.0</v>
      </c>
      <c r="S11" s="23">
        <v>3.0</v>
      </c>
      <c r="T11" s="23" t="s">
        <v>10</v>
      </c>
      <c r="U11" s="23" t="s">
        <v>10</v>
      </c>
      <c r="V11" s="23">
        <v>0.0</v>
      </c>
      <c r="W11" s="23">
        <v>1.0</v>
      </c>
      <c r="X11" s="23">
        <v>0.0</v>
      </c>
      <c r="Y11" s="23">
        <v>1.0</v>
      </c>
      <c r="Z11" s="23">
        <v>0.0</v>
      </c>
      <c r="AA11" s="23" t="s">
        <v>10</v>
      </c>
      <c r="AB11" s="23" t="s">
        <v>10</v>
      </c>
      <c r="AC11" s="37" t="s">
        <v>12</v>
      </c>
      <c r="AD11" s="37" t="s">
        <v>12</v>
      </c>
      <c r="AE11" s="37" t="s">
        <v>12</v>
      </c>
      <c r="AF11" s="37" t="s">
        <v>12</v>
      </c>
      <c r="AG11" s="37" t="s">
        <v>12</v>
      </c>
      <c r="AH11" s="26" t="str">
        <f>SUM(Octubre[[#This Row],[1]:[31]])</f>
        <v>#ERROR!</v>
      </c>
    </row>
    <row r="12" ht="30.0" customHeight="1">
      <c r="B12" s="25" t="s">
        <v>5</v>
      </c>
      <c r="C12" s="23"/>
      <c r="D12" s="23"/>
      <c r="E12" s="23"/>
      <c r="F12" s="23" t="s">
        <v>10</v>
      </c>
      <c r="G12" s="23" t="s">
        <v>10</v>
      </c>
      <c r="H12" s="23">
        <v>0.0</v>
      </c>
      <c r="I12" s="23">
        <v>0.0</v>
      </c>
      <c r="J12" s="23">
        <v>0.0</v>
      </c>
      <c r="K12" s="23">
        <v>0.0</v>
      </c>
      <c r="L12" s="23">
        <v>4.0</v>
      </c>
      <c r="M12" s="23" t="s">
        <v>10</v>
      </c>
      <c r="N12" s="23" t="s">
        <v>10</v>
      </c>
      <c r="O12" s="23">
        <v>1.0</v>
      </c>
      <c r="P12" s="23">
        <v>1.0</v>
      </c>
      <c r="Q12" s="23">
        <v>0.0</v>
      </c>
      <c r="R12" s="23">
        <v>2.0</v>
      </c>
      <c r="S12" s="23">
        <v>0.0</v>
      </c>
      <c r="T12" s="23" t="s">
        <v>10</v>
      </c>
      <c r="U12" s="23" t="s">
        <v>10</v>
      </c>
      <c r="V12" s="23">
        <v>0.0</v>
      </c>
      <c r="W12" s="23">
        <v>0.0</v>
      </c>
      <c r="X12" s="23">
        <v>0.0</v>
      </c>
      <c r="Y12" s="23">
        <v>1.0</v>
      </c>
      <c r="Z12" s="23">
        <v>1.0</v>
      </c>
      <c r="AA12" s="23" t="s">
        <v>10</v>
      </c>
      <c r="AB12" s="23" t="s">
        <v>10</v>
      </c>
      <c r="AC12" s="37" t="s">
        <v>12</v>
      </c>
      <c r="AD12" s="37" t="s">
        <v>12</v>
      </c>
      <c r="AE12" s="37" t="s">
        <v>12</v>
      </c>
      <c r="AF12" s="37" t="s">
        <v>12</v>
      </c>
      <c r="AG12" s="37" t="s">
        <v>12</v>
      </c>
      <c r="AH12" s="26" t="str">
        <f>SUM(Octubre[[#This Row],[1]:[31]])</f>
        <v>#ERROR!</v>
      </c>
    </row>
    <row r="13" ht="30.0" customHeight="1">
      <c r="B13" s="25" t="s">
        <v>6</v>
      </c>
      <c r="C13" s="23"/>
      <c r="D13" s="23"/>
      <c r="E13" s="23"/>
      <c r="F13" s="23" t="s">
        <v>10</v>
      </c>
      <c r="G13" s="23" t="s">
        <v>10</v>
      </c>
      <c r="H13" s="23">
        <v>0.0</v>
      </c>
      <c r="I13" s="23">
        <v>0.0</v>
      </c>
      <c r="J13" s="23">
        <v>1.0</v>
      </c>
      <c r="K13" s="23">
        <v>1.0</v>
      </c>
      <c r="L13" s="23">
        <v>0.0</v>
      </c>
      <c r="M13" s="23" t="s">
        <v>10</v>
      </c>
      <c r="N13" s="23" t="s">
        <v>10</v>
      </c>
      <c r="O13" s="23">
        <v>3.0</v>
      </c>
      <c r="P13" s="23">
        <v>1.0</v>
      </c>
      <c r="Q13" s="23">
        <v>0.0</v>
      </c>
      <c r="R13" s="23">
        <v>0.0</v>
      </c>
      <c r="S13" s="23">
        <v>2.0</v>
      </c>
      <c r="T13" s="23" t="s">
        <v>10</v>
      </c>
      <c r="U13" s="23" t="s">
        <v>10</v>
      </c>
      <c r="V13" s="23">
        <v>1.0</v>
      </c>
      <c r="W13" s="23">
        <v>0.0</v>
      </c>
      <c r="X13" s="23">
        <v>0.0</v>
      </c>
      <c r="Y13" s="23">
        <v>0.0</v>
      </c>
      <c r="Z13" s="23">
        <v>1.0</v>
      </c>
      <c r="AA13" s="23" t="s">
        <v>10</v>
      </c>
      <c r="AB13" s="23" t="s">
        <v>10</v>
      </c>
      <c r="AC13" s="37" t="s">
        <v>12</v>
      </c>
      <c r="AD13" s="37" t="s">
        <v>12</v>
      </c>
      <c r="AE13" s="37" t="s">
        <v>12</v>
      </c>
      <c r="AF13" s="37" t="s">
        <v>12</v>
      </c>
      <c r="AG13" s="37" t="s">
        <v>12</v>
      </c>
      <c r="AH13" s="26" t="str">
        <f>SUM(Octubre[[#This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 t="s">
        <v>17</v>
      </c>
      <c r="I14" s="28" t="s">
        <v>17</v>
      </c>
      <c r="J14" s="28" t="s">
        <v>17</v>
      </c>
      <c r="K14" s="28" t="s">
        <v>17</v>
      </c>
      <c r="L14" s="28" t="s">
        <v>17</v>
      </c>
      <c r="M14" s="28"/>
      <c r="N14" s="28"/>
      <c r="O14" s="28" t="s">
        <v>18</v>
      </c>
      <c r="P14" s="28" t="s">
        <v>18</v>
      </c>
      <c r="Q14" s="28" t="s">
        <v>18</v>
      </c>
      <c r="R14" s="28" t="s">
        <v>18</v>
      </c>
      <c r="S14" s="28" t="s">
        <v>18</v>
      </c>
      <c r="T14" s="28"/>
      <c r="U14" s="28"/>
      <c r="V14" s="28" t="s">
        <v>19</v>
      </c>
      <c r="W14" s="28" t="s">
        <v>19</v>
      </c>
      <c r="X14" s="28" t="s">
        <v>19</v>
      </c>
      <c r="Y14" s="28" t="s">
        <v>19</v>
      </c>
      <c r="Z14" s="28" t="s">
        <v>19</v>
      </c>
      <c r="AA14" s="28"/>
      <c r="AB14" s="28"/>
      <c r="AC14" s="28" t="s">
        <v>20</v>
      </c>
      <c r="AD14" s="28" t="s">
        <v>20</v>
      </c>
      <c r="AE14" s="28" t="s">
        <v>20</v>
      </c>
      <c r="AF14" s="28" t="s">
        <v>20</v>
      </c>
      <c r="AG14" s="28" t="s">
        <v>20</v>
      </c>
      <c r="AH14" s="28" t="str">
        <f>SUBTOTAL(109,Octubre[Total de horas])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AG11 C12:O12 C13:AG13 Q12:AG12">
    <cfRule type="expression" dxfId="4" priority="1" stopIfTrue="1">
      <formula>C9=""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36" t="s">
        <v>62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15</v>
      </c>
      <c r="AH6" s="19" t="str">
        <f>CalendarYear</f>
        <v>2025</v>
      </c>
    </row>
    <row r="7" ht="30.0" customHeight="1">
      <c r="B7" s="19"/>
      <c r="C7" s="21" t="str">
        <f>TEXT(WEEKDAY(DATE(CalendarYear,11,1),1),"ddd")</f>
        <v>Sat</v>
      </c>
      <c r="D7" s="21" t="str">
        <f>TEXT(WEEKDAY(DATE(CalendarYear,11,2),1),"ddd")</f>
        <v>Sun</v>
      </c>
      <c r="E7" s="21" t="str">
        <f>TEXT(WEEKDAY(DATE(CalendarYear,11,3),1),"ddd")</f>
        <v>Mon</v>
      </c>
      <c r="F7" s="21" t="str">
        <f>TEXT(WEEKDAY(DATE(CalendarYear,11,4),1),"ddd")</f>
        <v>Tue</v>
      </c>
      <c r="G7" s="21" t="str">
        <f>TEXT(WEEKDAY(DATE(CalendarYear,11,5),1),"ddd")</f>
        <v>Wed</v>
      </c>
      <c r="H7" s="21" t="str">
        <f>TEXT(WEEKDAY(DATE(CalendarYear,11,6),1),"ddd")</f>
        <v>Thu</v>
      </c>
      <c r="I7" s="21" t="str">
        <f>TEXT(WEEKDAY(DATE(CalendarYear,11,7),1),"ddd")</f>
        <v>Fri</v>
      </c>
      <c r="J7" s="21" t="str">
        <f>TEXT(WEEKDAY(DATE(CalendarYear,11,8),1),"ddd")</f>
        <v>Sat</v>
      </c>
      <c r="K7" s="21" t="str">
        <f>TEXT(WEEKDAY(DATE(CalendarYear,11,9),1),"ddd")</f>
        <v>Sun</v>
      </c>
      <c r="L7" s="21" t="str">
        <f>TEXT(WEEKDAY(DATE(CalendarYear,11,10),1),"ddd")</f>
        <v>Mon</v>
      </c>
      <c r="M7" s="21" t="str">
        <f>TEXT(WEEKDAY(DATE(CalendarYear,11,11),1),"ddd")</f>
        <v>Tue</v>
      </c>
      <c r="N7" s="21" t="str">
        <f>TEXT(WEEKDAY(DATE(CalendarYear,11,12),1),"ddd")</f>
        <v>Wed</v>
      </c>
      <c r="O7" s="21" t="str">
        <f>TEXT(WEEKDAY(DATE(CalendarYear,11,13),1),"ddd")</f>
        <v>Thu</v>
      </c>
      <c r="P7" s="21" t="str">
        <f>TEXT(WEEKDAY(DATE(CalendarYear,11,14),1),"ddd")</f>
        <v>Fri</v>
      </c>
      <c r="Q7" s="21" t="str">
        <f>TEXT(WEEKDAY(DATE(CalendarYear,11,15),1),"ddd")</f>
        <v>Sat</v>
      </c>
      <c r="R7" s="21" t="str">
        <f>TEXT(WEEKDAY(DATE(CalendarYear,11,16),1),"ddd")</f>
        <v>Sun</v>
      </c>
      <c r="S7" s="21" t="str">
        <f>TEXT(WEEKDAY(DATE(CalendarYear,11,17),1),"ddd")</f>
        <v>Mon</v>
      </c>
      <c r="T7" s="21" t="str">
        <f>TEXT(WEEKDAY(DATE(CalendarYear,11,18),1),"ddd")</f>
        <v>Tue</v>
      </c>
      <c r="U7" s="21" t="str">
        <f>TEXT(WEEKDAY(DATE(CalendarYear,11,19),1),"ddd")</f>
        <v>Wed</v>
      </c>
      <c r="V7" s="21" t="str">
        <f>TEXT(WEEKDAY(DATE(CalendarYear,11,20),1),"ddd")</f>
        <v>Thu</v>
      </c>
      <c r="W7" s="21" t="str">
        <f>TEXT(WEEKDAY(DATE(CalendarYear,11,21),1),"ddd")</f>
        <v>Fri</v>
      </c>
      <c r="X7" s="21" t="str">
        <f>TEXT(WEEKDAY(DATE(CalendarYear,11,22),1),"ddd")</f>
        <v>Sat</v>
      </c>
      <c r="Y7" s="21" t="str">
        <f>TEXT(WEEKDAY(DATE(CalendarYear,11,23),1),"ddd")</f>
        <v>Sun</v>
      </c>
      <c r="Z7" s="21" t="str">
        <f>TEXT(WEEKDAY(DATE(CalendarYear,11,24),1),"ddd")</f>
        <v>Mon</v>
      </c>
      <c r="AA7" s="21" t="str">
        <f>TEXT(WEEKDAY(DATE(CalendarYear,11,25),1),"ddd")</f>
        <v>Tue</v>
      </c>
      <c r="AB7" s="21" t="str">
        <f>TEXT(WEEKDAY(DATE(CalendarYear,11,26),1),"ddd")</f>
        <v>Wed</v>
      </c>
      <c r="AC7" s="21" t="str">
        <f>TEXT(WEEKDAY(DATE(CalendarYear,11,27),1),"ddd")</f>
        <v>Thu</v>
      </c>
      <c r="AD7" s="21" t="str">
        <f>TEXT(WEEKDAY(DATE(CalendarYear,11,28),1),"ddd")</f>
        <v>Fri</v>
      </c>
      <c r="AE7" s="21" t="str">
        <f>TEXT(WEEKDAY(DATE(CalendarYear,11,29),1),"ddd")</f>
        <v>Sat</v>
      </c>
      <c r="AF7" s="21" t="str">
        <f>TEXT(WEEKDAY(DATE(CalendarYear,11,30),1),"ddd")</f>
        <v>Sun</v>
      </c>
      <c r="AG7" s="21"/>
      <c r="AH7" s="19"/>
    </row>
    <row r="8" ht="30.0" customHeight="1">
      <c r="B8" s="22" t="s">
        <v>16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51</v>
      </c>
      <c r="AH8" s="24" t="s">
        <v>60</v>
      </c>
    </row>
    <row r="9" ht="30.0" customHeight="1">
      <c r="B9" s="25" t="s">
        <v>2</v>
      </c>
      <c r="C9" s="23" t="s">
        <v>10</v>
      </c>
      <c r="D9" s="23" t="s">
        <v>10</v>
      </c>
      <c r="E9" s="23">
        <v>1.0</v>
      </c>
      <c r="F9" s="23">
        <v>0.0</v>
      </c>
      <c r="G9" s="23">
        <v>1.0</v>
      </c>
      <c r="H9" s="23">
        <v>0.0</v>
      </c>
      <c r="I9" s="23">
        <v>0.0</v>
      </c>
      <c r="J9" s="23" t="s">
        <v>10</v>
      </c>
      <c r="K9" s="23" t="s">
        <v>10</v>
      </c>
      <c r="L9" s="23"/>
      <c r="M9" s="23"/>
      <c r="N9" s="23"/>
      <c r="O9" s="23"/>
      <c r="P9" s="23"/>
      <c r="Q9" s="23" t="s">
        <v>10</v>
      </c>
      <c r="R9" s="23" t="s">
        <v>10</v>
      </c>
      <c r="S9" s="23"/>
      <c r="T9" s="23"/>
      <c r="U9" s="23"/>
      <c r="V9" s="23"/>
      <c r="W9" s="23"/>
      <c r="X9" s="23" t="s">
        <v>10</v>
      </c>
      <c r="Y9" s="23" t="s">
        <v>10</v>
      </c>
      <c r="Z9" s="23"/>
      <c r="AA9" s="23"/>
      <c r="AB9" s="23"/>
      <c r="AC9" s="23"/>
      <c r="AD9" s="23"/>
      <c r="AE9" s="23" t="s">
        <v>10</v>
      </c>
      <c r="AF9" s="23" t="s">
        <v>10</v>
      </c>
      <c r="AG9" s="23"/>
      <c r="AH9" s="26" t="str">
        <f>SUM(Noviembre[[#This Row],[1]:[ ]])</f>
        <v>#ERROR!</v>
      </c>
    </row>
    <row r="10" ht="30.0" customHeight="1">
      <c r="B10" s="25" t="s">
        <v>3</v>
      </c>
      <c r="C10" s="23" t="s">
        <v>10</v>
      </c>
      <c r="D10" s="23" t="s">
        <v>10</v>
      </c>
      <c r="E10" s="23">
        <v>2.0</v>
      </c>
      <c r="F10" s="23">
        <v>0.0</v>
      </c>
      <c r="G10" s="23">
        <v>0.0</v>
      </c>
      <c r="H10" s="23">
        <v>0.0</v>
      </c>
      <c r="I10" s="23">
        <v>0.0</v>
      </c>
      <c r="J10" s="23" t="s">
        <v>10</v>
      </c>
      <c r="K10" s="23" t="s">
        <v>10</v>
      </c>
      <c r="L10" s="23"/>
      <c r="M10" s="23"/>
      <c r="N10" s="23"/>
      <c r="O10" s="23"/>
      <c r="P10" s="23"/>
      <c r="Q10" s="23" t="s">
        <v>10</v>
      </c>
      <c r="R10" s="23" t="s">
        <v>10</v>
      </c>
      <c r="S10" s="23"/>
      <c r="T10" s="23"/>
      <c r="U10" s="23"/>
      <c r="V10" s="23"/>
      <c r="W10" s="23"/>
      <c r="X10" s="23" t="s">
        <v>10</v>
      </c>
      <c r="Y10" s="23" t="s">
        <v>10</v>
      </c>
      <c r="Z10" s="23"/>
      <c r="AA10" s="23"/>
      <c r="AB10" s="23"/>
      <c r="AC10" s="23"/>
      <c r="AD10" s="23"/>
      <c r="AE10" s="23" t="s">
        <v>10</v>
      </c>
      <c r="AF10" s="23" t="s">
        <v>10</v>
      </c>
      <c r="AG10" s="23"/>
      <c r="AH10" s="26" t="str">
        <f>SUM(Noviembre[[#This Row],[1]:[ ]])</f>
        <v>#ERROR!</v>
      </c>
    </row>
    <row r="11" ht="30.0" customHeight="1">
      <c r="B11" s="25" t="s">
        <v>4</v>
      </c>
      <c r="C11" s="23" t="s">
        <v>10</v>
      </c>
      <c r="D11" s="23" t="s">
        <v>10</v>
      </c>
      <c r="E11" s="23">
        <v>0.0</v>
      </c>
      <c r="F11" s="23">
        <v>1.0</v>
      </c>
      <c r="G11" s="23">
        <v>1.0</v>
      </c>
      <c r="H11" s="23">
        <v>0.0</v>
      </c>
      <c r="I11" s="23">
        <v>0.0</v>
      </c>
      <c r="J11" s="23" t="s">
        <v>10</v>
      </c>
      <c r="K11" s="23" t="s">
        <v>10</v>
      </c>
      <c r="L11" s="23"/>
      <c r="M11" s="23"/>
      <c r="N11" s="23"/>
      <c r="O11" s="23"/>
      <c r="P11" s="23"/>
      <c r="Q11" s="23" t="s">
        <v>10</v>
      </c>
      <c r="R11" s="23" t="s">
        <v>10</v>
      </c>
      <c r="S11" s="23"/>
      <c r="T11" s="23"/>
      <c r="U11" s="23"/>
      <c r="V11" s="23"/>
      <c r="W11" s="23"/>
      <c r="X11" s="23" t="s">
        <v>10</v>
      </c>
      <c r="Y11" s="23" t="s">
        <v>10</v>
      </c>
      <c r="Z11" s="23"/>
      <c r="AA11" s="23"/>
      <c r="AB11" s="23"/>
      <c r="AC11" s="23"/>
      <c r="AD11" s="23"/>
      <c r="AE11" s="23" t="s">
        <v>10</v>
      </c>
      <c r="AF11" s="23" t="s">
        <v>10</v>
      </c>
      <c r="AG11" s="23"/>
      <c r="AH11" s="26" t="str">
        <f>SUM(Noviembre[[#This Row],[1]:[ ]])</f>
        <v>#ERROR!</v>
      </c>
    </row>
    <row r="12" ht="30.0" customHeight="1">
      <c r="B12" s="25" t="s">
        <v>5</v>
      </c>
      <c r="C12" s="23" t="s">
        <v>10</v>
      </c>
      <c r="D12" s="23" t="s">
        <v>10</v>
      </c>
      <c r="E12" s="23">
        <v>0.0</v>
      </c>
      <c r="F12" s="23">
        <v>0.0</v>
      </c>
      <c r="G12" s="23">
        <v>0.0</v>
      </c>
      <c r="H12" s="23">
        <v>0.0</v>
      </c>
      <c r="I12" s="23">
        <v>3.0</v>
      </c>
      <c r="J12" s="23" t="s">
        <v>10</v>
      </c>
      <c r="K12" s="23" t="s">
        <v>10</v>
      </c>
      <c r="L12" s="23"/>
      <c r="M12" s="23"/>
      <c r="N12" s="23"/>
      <c r="O12" s="23"/>
      <c r="P12" s="23"/>
      <c r="Q12" s="23" t="s">
        <v>10</v>
      </c>
      <c r="R12" s="23" t="s">
        <v>10</v>
      </c>
      <c r="S12" s="23"/>
      <c r="T12" s="23"/>
      <c r="U12" s="23"/>
      <c r="V12" s="23"/>
      <c r="W12" s="23"/>
      <c r="X12" s="23" t="s">
        <v>10</v>
      </c>
      <c r="Y12" s="23" t="s">
        <v>10</v>
      </c>
      <c r="Z12" s="23"/>
      <c r="AA12" s="23"/>
      <c r="AB12" s="23"/>
      <c r="AC12" s="23"/>
      <c r="AD12" s="23"/>
      <c r="AE12" s="23" t="s">
        <v>10</v>
      </c>
      <c r="AF12" s="23" t="s">
        <v>10</v>
      </c>
      <c r="AG12" s="23"/>
      <c r="AH12" s="26" t="str">
        <f>SUM(Noviembre[[#This Row],[1]:[ ]])</f>
        <v>#ERROR!</v>
      </c>
    </row>
    <row r="13" ht="30.0" customHeight="1">
      <c r="B13" s="25" t="s">
        <v>6</v>
      </c>
      <c r="C13" s="23" t="s">
        <v>10</v>
      </c>
      <c r="D13" s="23" t="s">
        <v>10</v>
      </c>
      <c r="E13" s="23">
        <v>0.0</v>
      </c>
      <c r="F13" s="23">
        <v>0.0</v>
      </c>
      <c r="G13" s="23">
        <v>2.0</v>
      </c>
      <c r="H13" s="23">
        <v>1.0</v>
      </c>
      <c r="I13" s="23">
        <v>0.0</v>
      </c>
      <c r="J13" s="23" t="s">
        <v>10</v>
      </c>
      <c r="K13" s="23" t="s">
        <v>10</v>
      </c>
      <c r="L13" s="23"/>
      <c r="M13" s="23"/>
      <c r="N13" s="23"/>
      <c r="O13" s="23"/>
      <c r="P13" s="23"/>
      <c r="Q13" s="23" t="s">
        <v>10</v>
      </c>
      <c r="R13" s="23" t="s">
        <v>10</v>
      </c>
      <c r="S13" s="23"/>
      <c r="T13" s="23"/>
      <c r="U13" s="23"/>
      <c r="V13" s="23"/>
      <c r="W13" s="23"/>
      <c r="X13" s="23" t="s">
        <v>10</v>
      </c>
      <c r="Y13" s="23" t="s">
        <v>10</v>
      </c>
      <c r="Z13" s="23"/>
      <c r="AA13" s="23"/>
      <c r="AB13" s="23"/>
      <c r="AC13" s="23"/>
      <c r="AD13" s="23"/>
      <c r="AE13" s="23" t="s">
        <v>10</v>
      </c>
      <c r="AF13" s="23" t="s">
        <v>10</v>
      </c>
      <c r="AG13" s="23"/>
      <c r="AH13" s="26" t="str">
        <f>SUM(Noviembre[[#This Row],[1]:[ ]])</f>
        <v>#ERROR!</v>
      </c>
    </row>
    <row r="14" ht="30.0" customHeight="1">
      <c r="B14" s="27" t="s">
        <v>49</v>
      </c>
      <c r="C14" s="28"/>
      <c r="D14" s="28"/>
      <c r="E14" s="28" t="s">
        <v>20</v>
      </c>
      <c r="F14" s="28" t="s">
        <v>20</v>
      </c>
      <c r="G14" s="28" t="s">
        <v>20</v>
      </c>
      <c r="H14" s="28" t="s">
        <v>20</v>
      </c>
      <c r="I14" s="28" t="s">
        <v>20</v>
      </c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SUBTOTAL(109,Noviembre[Total de horas])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D13">
    <cfRule type="expression" dxfId="4" priority="1" stopIfTrue="1">
      <formula>C9=""</formula>
    </cfRule>
  </conditionalFormatting>
  <conditionalFormatting sqref="E9:I13 L9:P13 S9:W13 Z9:AD13 AG9:AG13">
    <cfRule type="expression" dxfId="4" priority="2" stopIfTrue="1">
      <formula>E9=""</formula>
    </cfRule>
  </conditionalFormatting>
  <conditionalFormatting sqref="J9:K13">
    <cfRule type="expression" dxfId="4" priority="3" stopIfTrue="1">
      <formula>J9=""</formula>
    </cfRule>
  </conditionalFormatting>
  <conditionalFormatting sqref="Q9:R13">
    <cfRule type="expression" dxfId="4" priority="4" stopIfTrue="1">
      <formula>Q9=""</formula>
    </cfRule>
  </conditionalFormatting>
  <conditionalFormatting sqref="X9:Y13">
    <cfRule type="expression" dxfId="4" priority="5" stopIfTrue="1">
      <formula>X9=""</formula>
    </cfRule>
  </conditionalFormatting>
  <conditionalFormatting sqref="AE9:AF13">
    <cfRule type="expression" dxfId="4" priority="6" stopIfTrue="1">
      <formula>AE9=""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E84D8"/>
    <pageSetUpPr fitToPage="1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36.0"/>
    <col customWidth="1" min="3" max="33" width="4.71"/>
    <col customWidth="1" min="34" max="34" width="15.43"/>
  </cols>
  <sheetData>
    <row r="1" ht="49.5" customHeight="1">
      <c r="B1" s="5" t="s">
        <v>7</v>
      </c>
    </row>
    <row r="2" ht="99.75" customHeight="1">
      <c r="B2" s="7" t="s">
        <v>63</v>
      </c>
    </row>
    <row r="3" ht="15.0" customHeight="1">
      <c r="B3" s="8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</row>
    <row r="4" ht="30.0" customHeight="1">
      <c r="B4" s="10" t="s">
        <v>9</v>
      </c>
      <c r="C4" s="11" t="s">
        <v>10</v>
      </c>
      <c r="D4" s="12" t="s">
        <v>11</v>
      </c>
      <c r="G4" s="13" t="s">
        <v>12</v>
      </c>
      <c r="H4" s="12" t="s">
        <v>13</v>
      </c>
      <c r="K4" s="14"/>
      <c r="L4" s="12" t="s">
        <v>14</v>
      </c>
      <c r="O4" s="15"/>
      <c r="P4" s="12" t="s">
        <v>14</v>
      </c>
      <c r="T4" s="16"/>
      <c r="U4" s="12" t="s">
        <v>14</v>
      </c>
    </row>
    <row r="5" ht="15.0" customHeight="1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</row>
    <row r="6" ht="49.5" customHeight="1">
      <c r="B6" s="19"/>
      <c r="C6" s="20" t="s">
        <v>64</v>
      </c>
      <c r="AH6" s="19" t="str">
        <f>CalendarYear</f>
        <v>2025</v>
      </c>
    </row>
    <row r="7" ht="30.0" customHeight="1">
      <c r="B7" s="19"/>
      <c r="C7" s="21" t="str">
        <f>TEXT(WEEKDAY(DATE(CalendarYear,12,1),1),"ddd")</f>
        <v>Mon</v>
      </c>
      <c r="D7" s="21" t="str">
        <f>TEXT(WEEKDAY(DATE(CalendarYear,12,2),1),"ddd")</f>
        <v>Tue</v>
      </c>
      <c r="E7" s="21" t="str">
        <f>TEXT(WEEKDAY(DATE(CalendarYear,12,3),1),"ddd")</f>
        <v>Wed</v>
      </c>
      <c r="F7" s="21" t="str">
        <f>TEXT(WEEKDAY(DATE(CalendarYear,12,4),1),"ddd")</f>
        <v>Thu</v>
      </c>
      <c r="G7" s="21" t="str">
        <f>TEXT(WEEKDAY(DATE(CalendarYear,12,5),1),"ddd")</f>
        <v>Fri</v>
      </c>
      <c r="H7" s="21" t="str">
        <f>TEXT(WEEKDAY(DATE(CalendarYear,12,6),1),"ddd")</f>
        <v>Sat</v>
      </c>
      <c r="I7" s="21" t="str">
        <f>TEXT(WEEKDAY(DATE(CalendarYear,12,7),1),"ddd")</f>
        <v>Sun</v>
      </c>
      <c r="J7" s="21" t="str">
        <f>TEXT(WEEKDAY(DATE(CalendarYear,12,8),1),"ddd")</f>
        <v>Mon</v>
      </c>
      <c r="K7" s="21" t="str">
        <f>TEXT(WEEKDAY(DATE(CalendarYear,12,9),1),"ddd")</f>
        <v>Tue</v>
      </c>
      <c r="L7" s="21" t="str">
        <f>TEXT(WEEKDAY(DATE(CalendarYear,12,10),1),"ddd")</f>
        <v>Wed</v>
      </c>
      <c r="M7" s="21" t="str">
        <f>TEXT(WEEKDAY(DATE(CalendarYear,12,11),1),"ddd")</f>
        <v>Thu</v>
      </c>
      <c r="N7" s="21" t="str">
        <f>TEXT(WEEKDAY(DATE(CalendarYear,12,12),1),"ddd")</f>
        <v>Fri</v>
      </c>
      <c r="O7" s="21" t="str">
        <f>TEXT(WEEKDAY(DATE(CalendarYear,12,13),1),"ddd")</f>
        <v>Sat</v>
      </c>
      <c r="P7" s="21" t="str">
        <f>TEXT(WEEKDAY(DATE(CalendarYear,12,14),1),"ddd")</f>
        <v>Sun</v>
      </c>
      <c r="Q7" s="21" t="str">
        <f>TEXT(WEEKDAY(DATE(CalendarYear,12,15),1),"ddd")</f>
        <v>Mon</v>
      </c>
      <c r="R7" s="21" t="str">
        <f>TEXT(WEEKDAY(DATE(CalendarYear,12,16),1),"ddd")</f>
        <v>Tue</v>
      </c>
      <c r="S7" s="21" t="str">
        <f>TEXT(WEEKDAY(DATE(CalendarYear,12,17),1),"ddd")</f>
        <v>Wed</v>
      </c>
      <c r="T7" s="21" t="str">
        <f>TEXT(WEEKDAY(DATE(CalendarYear,12,18),1),"ddd")</f>
        <v>Thu</v>
      </c>
      <c r="U7" s="21" t="str">
        <f>TEXT(WEEKDAY(DATE(CalendarYear,12,19),1),"ddd")</f>
        <v>Fri</v>
      </c>
      <c r="V7" s="21" t="str">
        <f>TEXT(WEEKDAY(DATE(CalendarYear,12,20),1),"ddd")</f>
        <v>Sat</v>
      </c>
      <c r="W7" s="21" t="str">
        <f>TEXT(WEEKDAY(DATE(CalendarYear,12,21),1),"ddd")</f>
        <v>Sun</v>
      </c>
      <c r="X7" s="21" t="str">
        <f>TEXT(WEEKDAY(DATE(CalendarYear,12,22),1),"ddd")</f>
        <v>Mon</v>
      </c>
      <c r="Y7" s="21" t="str">
        <f>TEXT(WEEKDAY(DATE(CalendarYear,12,23),1),"ddd")</f>
        <v>Tue</v>
      </c>
      <c r="Z7" s="21" t="str">
        <f>TEXT(WEEKDAY(DATE(CalendarYear,12,24),1),"ddd")</f>
        <v>Wed</v>
      </c>
      <c r="AA7" s="21" t="str">
        <f>TEXT(WEEKDAY(DATE(CalendarYear,12,25),1),"ddd")</f>
        <v>Thu</v>
      </c>
      <c r="AB7" s="21" t="str">
        <f>TEXT(WEEKDAY(DATE(CalendarYear,12,26),1),"ddd")</f>
        <v>Fri</v>
      </c>
      <c r="AC7" s="21" t="str">
        <f>TEXT(WEEKDAY(DATE(CalendarYear,12,27),1),"ddd")</f>
        <v>Sat</v>
      </c>
      <c r="AD7" s="21" t="str">
        <f>TEXT(WEEKDAY(DATE(CalendarYear,12,28),1),"ddd")</f>
        <v>Sun</v>
      </c>
      <c r="AE7" s="21" t="str">
        <f>TEXT(WEEKDAY(DATE(CalendarYear,12,29),1),"ddd")</f>
        <v>Mon</v>
      </c>
      <c r="AF7" s="21" t="str">
        <f>TEXT(WEEKDAY(DATE(CalendarYear,12,30),1),"ddd")</f>
        <v>Tue</v>
      </c>
      <c r="AG7" s="21" t="str">
        <f>TEXT(WEEKDAY(DATE(CalendarYear,12,31),1),"ddd")</f>
        <v>Wed</v>
      </c>
      <c r="AH7" s="19"/>
    </row>
    <row r="8" ht="30.0" customHeight="1">
      <c r="B8" s="22" t="s">
        <v>65</v>
      </c>
      <c r="C8" s="23" t="s">
        <v>17</v>
      </c>
      <c r="D8" s="23" t="s">
        <v>18</v>
      </c>
      <c r="E8" s="23" t="s">
        <v>19</v>
      </c>
      <c r="F8" s="23" t="s">
        <v>20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25</v>
      </c>
      <c r="L8" s="23" t="s">
        <v>26</v>
      </c>
      <c r="M8" s="23" t="s">
        <v>27</v>
      </c>
      <c r="N8" s="23" t="s">
        <v>28</v>
      </c>
      <c r="O8" s="23" t="s">
        <v>29</v>
      </c>
      <c r="P8" s="23" t="s">
        <v>30</v>
      </c>
      <c r="Q8" s="23" t="s">
        <v>31</v>
      </c>
      <c r="R8" s="23" t="s">
        <v>32</v>
      </c>
      <c r="S8" s="23" t="s">
        <v>33</v>
      </c>
      <c r="T8" s="23" t="s">
        <v>34</v>
      </c>
      <c r="U8" s="23" t="s">
        <v>35</v>
      </c>
      <c r="V8" s="23" t="s">
        <v>36</v>
      </c>
      <c r="W8" s="23" t="s">
        <v>37</v>
      </c>
      <c r="X8" s="23" t="s">
        <v>38</v>
      </c>
      <c r="Y8" s="23" t="s">
        <v>39</v>
      </c>
      <c r="Z8" s="23" t="s">
        <v>40</v>
      </c>
      <c r="AA8" s="23" t="s">
        <v>41</v>
      </c>
      <c r="AB8" s="23" t="s">
        <v>42</v>
      </c>
      <c r="AC8" s="23" t="s">
        <v>43</v>
      </c>
      <c r="AD8" s="23" t="s">
        <v>44</v>
      </c>
      <c r="AE8" s="23" t="s">
        <v>45</v>
      </c>
      <c r="AF8" s="23" t="s">
        <v>46</v>
      </c>
      <c r="AG8" s="23" t="s">
        <v>47</v>
      </c>
      <c r="AH8" s="24" t="s">
        <v>60</v>
      </c>
    </row>
    <row r="9" ht="30.0" customHeight="1">
      <c r="B9" s="25" t="s">
        <v>2</v>
      </c>
      <c r="C9" s="23"/>
      <c r="D9" s="23"/>
      <c r="E9" s="23"/>
      <c r="F9" s="23"/>
      <c r="G9" s="23"/>
      <c r="H9" s="23" t="s">
        <v>10</v>
      </c>
      <c r="I9" s="23" t="s">
        <v>10</v>
      </c>
      <c r="J9" s="23"/>
      <c r="K9" s="23"/>
      <c r="L9" s="23"/>
      <c r="M9" s="23"/>
      <c r="N9" s="23"/>
      <c r="O9" s="23" t="s">
        <v>10</v>
      </c>
      <c r="P9" s="23" t="s">
        <v>10</v>
      </c>
      <c r="Q9" s="23"/>
      <c r="R9" s="23"/>
      <c r="S9" s="23"/>
      <c r="T9" s="23"/>
      <c r="U9" s="23"/>
      <c r="V9" s="23" t="s">
        <v>10</v>
      </c>
      <c r="W9" s="23" t="s">
        <v>10</v>
      </c>
      <c r="X9" s="23"/>
      <c r="Y9" s="23"/>
      <c r="Z9" s="23"/>
      <c r="AA9" s="23"/>
      <c r="AB9" s="23"/>
      <c r="AC9" s="23" t="s">
        <v>10</v>
      </c>
      <c r="AD9" s="23" t="s">
        <v>10</v>
      </c>
      <c r="AE9" s="23"/>
      <c r="AF9" s="23"/>
      <c r="AG9" s="23"/>
      <c r="AH9" s="26" t="str">
        <f>SUM(Diciembre[[#This Row],[1]:[31]])</f>
        <v>#ERROR!</v>
      </c>
    </row>
    <row r="10" ht="30.0" customHeight="1">
      <c r="B10" s="25" t="s">
        <v>3</v>
      </c>
      <c r="C10" s="23"/>
      <c r="D10" s="23"/>
      <c r="E10" s="23"/>
      <c r="F10" s="23"/>
      <c r="G10" s="23"/>
      <c r="H10" s="23" t="s">
        <v>10</v>
      </c>
      <c r="I10" s="23" t="s">
        <v>10</v>
      </c>
      <c r="J10" s="23"/>
      <c r="K10" s="23"/>
      <c r="L10" s="23"/>
      <c r="M10" s="23"/>
      <c r="N10" s="23"/>
      <c r="O10" s="23" t="s">
        <v>10</v>
      </c>
      <c r="P10" s="23" t="s">
        <v>10</v>
      </c>
      <c r="Q10" s="23"/>
      <c r="R10" s="23"/>
      <c r="S10" s="23"/>
      <c r="T10" s="23"/>
      <c r="U10" s="23"/>
      <c r="V10" s="23" t="s">
        <v>10</v>
      </c>
      <c r="W10" s="23" t="s">
        <v>10</v>
      </c>
      <c r="X10" s="23"/>
      <c r="Y10" s="23"/>
      <c r="Z10" s="23"/>
      <c r="AA10" s="23"/>
      <c r="AB10" s="23"/>
      <c r="AC10" s="23" t="s">
        <v>10</v>
      </c>
      <c r="AD10" s="23" t="s">
        <v>10</v>
      </c>
      <c r="AE10" s="23"/>
      <c r="AF10" s="23"/>
      <c r="AG10" s="23"/>
      <c r="AH10" s="26" t="str">
        <f>SUM(Diciembre[[#This Row],[1]:[31]])</f>
        <v>#ERROR!</v>
      </c>
    </row>
    <row r="11" ht="30.0" customHeight="1">
      <c r="B11" s="25" t="s">
        <v>4</v>
      </c>
      <c r="C11" s="23"/>
      <c r="D11" s="23"/>
      <c r="E11" s="23"/>
      <c r="F11" s="23"/>
      <c r="G11" s="23"/>
      <c r="H11" s="23" t="s">
        <v>10</v>
      </c>
      <c r="I11" s="23" t="s">
        <v>10</v>
      </c>
      <c r="J11" s="23"/>
      <c r="K11" s="23"/>
      <c r="L11" s="23"/>
      <c r="M11" s="23"/>
      <c r="N11" s="23"/>
      <c r="O11" s="23" t="s">
        <v>10</v>
      </c>
      <c r="P11" s="23" t="s">
        <v>10</v>
      </c>
      <c r="Q11" s="23"/>
      <c r="R11" s="23"/>
      <c r="S11" s="23"/>
      <c r="T11" s="23"/>
      <c r="U11" s="23"/>
      <c r="V11" s="23" t="s">
        <v>10</v>
      </c>
      <c r="W11" s="23" t="s">
        <v>10</v>
      </c>
      <c r="X11" s="23"/>
      <c r="Y11" s="23"/>
      <c r="Z11" s="23"/>
      <c r="AA11" s="23"/>
      <c r="AB11" s="23"/>
      <c r="AC11" s="23" t="s">
        <v>10</v>
      </c>
      <c r="AD11" s="23" t="s">
        <v>10</v>
      </c>
      <c r="AE11" s="23"/>
      <c r="AF11" s="23"/>
      <c r="AG11" s="23"/>
      <c r="AH11" s="26" t="str">
        <f>SUM(Diciembre[[#This Row],[1]:[31]])</f>
        <v>#ERROR!</v>
      </c>
    </row>
    <row r="12" ht="30.0" customHeight="1">
      <c r="B12" s="25" t="s">
        <v>5</v>
      </c>
      <c r="C12" s="23"/>
      <c r="D12" s="23"/>
      <c r="E12" s="23"/>
      <c r="F12" s="23"/>
      <c r="G12" s="23"/>
      <c r="H12" s="23" t="s">
        <v>10</v>
      </c>
      <c r="I12" s="23" t="s">
        <v>10</v>
      </c>
      <c r="J12" s="23"/>
      <c r="K12" s="23"/>
      <c r="L12" s="23"/>
      <c r="M12" s="23"/>
      <c r="N12" s="23"/>
      <c r="O12" s="23" t="s">
        <v>10</v>
      </c>
      <c r="P12" s="23" t="s">
        <v>10</v>
      </c>
      <c r="Q12" s="23"/>
      <c r="R12" s="23"/>
      <c r="S12" s="23"/>
      <c r="T12" s="23"/>
      <c r="U12" s="23"/>
      <c r="V12" s="23" t="s">
        <v>10</v>
      </c>
      <c r="W12" s="23" t="s">
        <v>10</v>
      </c>
      <c r="X12" s="23"/>
      <c r="Y12" s="23"/>
      <c r="Z12" s="23"/>
      <c r="AA12" s="23"/>
      <c r="AB12" s="23"/>
      <c r="AC12" s="23" t="s">
        <v>10</v>
      </c>
      <c r="AD12" s="23" t="s">
        <v>10</v>
      </c>
      <c r="AE12" s="23"/>
      <c r="AF12" s="23"/>
      <c r="AG12" s="23"/>
      <c r="AH12" s="26" t="str">
        <f>SUM(Diciembre[[#This Row],[1]:[31]])</f>
        <v>#ERROR!</v>
      </c>
    </row>
    <row r="13" ht="30.0" customHeight="1">
      <c r="B13" s="25" t="s">
        <v>6</v>
      </c>
      <c r="C13" s="23"/>
      <c r="D13" s="23"/>
      <c r="E13" s="23"/>
      <c r="F13" s="23"/>
      <c r="G13" s="23"/>
      <c r="H13" s="23" t="s">
        <v>10</v>
      </c>
      <c r="I13" s="23" t="s">
        <v>10</v>
      </c>
      <c r="J13" s="23"/>
      <c r="K13" s="23"/>
      <c r="L13" s="23"/>
      <c r="M13" s="23"/>
      <c r="N13" s="23"/>
      <c r="O13" s="23" t="s">
        <v>10</v>
      </c>
      <c r="P13" s="23" t="s">
        <v>10</v>
      </c>
      <c r="Q13" s="23"/>
      <c r="R13" s="23"/>
      <c r="S13" s="23"/>
      <c r="T13" s="23"/>
      <c r="U13" s="23"/>
      <c r="V13" s="23" t="s">
        <v>10</v>
      </c>
      <c r="W13" s="23" t="s">
        <v>10</v>
      </c>
      <c r="X13" s="23"/>
      <c r="Y13" s="23"/>
      <c r="Z13" s="23"/>
      <c r="AA13" s="23"/>
      <c r="AB13" s="23"/>
      <c r="AC13" s="23" t="s">
        <v>10</v>
      </c>
      <c r="AD13" s="23" t="s">
        <v>10</v>
      </c>
      <c r="AE13" s="23"/>
      <c r="AF13" s="23"/>
      <c r="AG13" s="23"/>
      <c r="AH13" s="26" t="str">
        <f>SUM(Diciembre[[#This Row],[1]:[31]])</f>
        <v>#ERROR!</v>
      </c>
    </row>
    <row r="14" ht="30.0" customHeight="1">
      <c r="B14" s="27" t="s">
        <v>49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 t="str">
        <f>SUBTOTAL(109,Diciembre[Total de horas])</f>
        <v>#ERROR!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</sheetData>
  <mergeCells count="6">
    <mergeCell ref="C6:AG6"/>
    <mergeCell ref="D4:F4"/>
    <mergeCell ref="H4:J4"/>
    <mergeCell ref="L4:N4"/>
    <mergeCell ref="P4:S4"/>
    <mergeCell ref="U4:X4"/>
  </mergeCells>
  <conditionalFormatting sqref="C9:G13 J9:N13 Q9:U13 X9:AB13 AE9:AG13">
    <cfRule type="expression" dxfId="4" priority="1" stopIfTrue="1">
      <formula>C9=""</formula>
    </cfRule>
  </conditionalFormatting>
  <conditionalFormatting sqref="H9:I13">
    <cfRule type="expression" dxfId="4" priority="2" stopIfTrue="1">
      <formula>H9=""</formula>
    </cfRule>
  </conditionalFormatting>
  <conditionalFormatting sqref="O9:P13">
    <cfRule type="expression" dxfId="4" priority="3" stopIfTrue="1">
      <formula>O9=""</formula>
    </cfRule>
  </conditionalFormatting>
  <conditionalFormatting sqref="V9:W13">
    <cfRule type="expression" dxfId="4" priority="4" stopIfTrue="1">
      <formula>V9=""</formula>
    </cfRule>
  </conditionalFormatting>
  <conditionalFormatting sqref="AC9:AD13">
    <cfRule type="expression" dxfId="4" priority="5" stopIfTrue="1">
      <formula>AC9=""</formula>
    </cfRule>
  </conditionalFormatting>
  <dataValidations>
    <dataValidation type="list" allowBlank="1" showErrorMessage="1" sqref="B9:B13">
      <formula1>'Integrantes del equipo'!$B$4:$B$8</formula1>
    </dataValidation>
  </dataValidations>
  <printOptions horizontalCentered="1"/>
  <pageMargins bottom="0.75" footer="0.0" header="0.0" left="0.25" right="0.25" top="0.75"/>
  <pageSetup fitToHeight="0" paperSize="9" orientation="landscape"/>
  <headerFooter>
    <oddFooter/>
  </headerFooter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TM03987167</Template>
  <ScaleCrop>false</ScaleCrop>
  <HeadingPairs>
    <vt:vector baseType="variant" size="4">
      <vt:variant>
        <vt:lpstr>Hojas de cálculo</vt:lpstr>
      </vt:variant>
      <vt:variant>
        <vt:i4>13</vt:i4>
      </vt:variant>
      <vt:variant>
        <vt:lpstr>Rangos con nombre</vt:lpstr>
      </vt:variant>
      <vt:variant>
        <vt:i4>50</vt:i4>
      </vt:variant>
    </vt:vector>
  </HeadingPairs>
  <TitlesOfParts>
    <vt:vector baseType="lpstr" size="63">
      <vt:lpstr>Integrantes del equipo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  <vt:lpstr>CalendarYear</vt:lpstr>
      <vt:lpstr>ColumnTitle13</vt:lpstr>
      <vt:lpstr>Employee_Absence_Title</vt:lpstr>
      <vt:lpstr>Key_name</vt:lpstr>
      <vt:lpstr>KeyCustom1</vt:lpstr>
      <vt:lpstr>KeyCustom1Label</vt:lpstr>
      <vt:lpstr>KeyCustom2</vt:lpstr>
      <vt:lpstr>KeyCustom2Label</vt:lpstr>
      <vt:lpstr>KeyPersonal</vt:lpstr>
      <vt:lpstr>KeyPersonalLabel</vt:lpstr>
      <vt:lpstr>KeySick</vt:lpstr>
      <vt:lpstr>KeySickLabel</vt:lpstr>
      <vt:lpstr>KeyVacation</vt:lpstr>
      <vt:lpstr>KeyVacationLabel</vt:lpstr>
      <vt:lpstr>Abril!MonthName</vt:lpstr>
      <vt:lpstr>Agosto!MonthName</vt:lpstr>
      <vt:lpstr>Diciembre!MonthName</vt:lpstr>
      <vt:lpstr>Enero!MonthName</vt:lpstr>
      <vt:lpstr>Febrero!MonthName</vt:lpstr>
      <vt:lpstr>Julio!MonthName</vt:lpstr>
      <vt:lpstr>Junio!MonthName</vt:lpstr>
      <vt:lpstr>Marzo!MonthName</vt:lpstr>
      <vt:lpstr>Mayo!MonthName</vt:lpstr>
      <vt:lpstr>Noviembre!MonthName</vt:lpstr>
      <vt:lpstr>Octubre!MonthName</vt:lpstr>
      <vt:lpstr>Septiembre!MonthName</vt:lpstr>
      <vt:lpstr>Title1</vt:lpstr>
      <vt:lpstr>Title10</vt:lpstr>
      <vt:lpstr>Title11</vt:lpstr>
      <vt:lpstr>Title12</vt:lpstr>
      <vt:lpstr>Title2</vt:lpstr>
      <vt:lpstr>Title3</vt:lpstr>
      <vt:lpstr>Title4</vt:lpstr>
      <vt:lpstr>Title5</vt:lpstr>
      <vt:lpstr>Title6</vt:lpstr>
      <vt:lpstr>Title7</vt:lpstr>
      <vt:lpstr>Title8</vt:lpstr>
      <vt:lpstr>Title9</vt:lpstr>
      <vt:lpstr>Abril!Títulos_a_imprimir</vt:lpstr>
      <vt:lpstr>Agosto!Títulos_a_imprimir</vt:lpstr>
      <vt:lpstr>Diciembre!Títulos_a_imprimir</vt:lpstr>
      <vt:lpstr>Enero!Títulos_a_imprimir</vt:lpstr>
      <vt:lpstr>Febrero!Títulos_a_imprimir</vt:lpstr>
      <vt:lpstr>Julio!Títulos_a_imprimir</vt:lpstr>
      <vt:lpstr>Junio!Títulos_a_imprimir</vt:lpstr>
      <vt:lpstr>Marzo!Títulos_a_imprimir</vt:lpstr>
      <vt:lpstr>Mayo!Títulos_a_imprimir</vt:lpstr>
      <vt:lpstr>Noviembre!Títulos_a_imprimir</vt:lpstr>
      <vt:lpstr>Octubre!Títulos_a_imprimir</vt:lpstr>
      <vt:lpstr>Septiembre!Títulos_a_imprimir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2023-01-31T06:59:27Z</dcterms:created>
  <dc:creator/>
  <cp:lastModifiedBy/>
  <dcterms:modified xsi:type="dcterms:W3CDTF">2025-11-09T22:06:04Z</dcterms:modified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