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 /><Relationship Id="rId2" Type="http://schemas.microsoft.com/office/2020/02/relationships/classificationlabels" Target="docMetadata/LabelInfo.xml" /><Relationship Id="rId1" Type="http://schemas.openxmlformats.org/officeDocument/2006/relationships/officeDocument" Target="xl/workbook.xml" /><Relationship Id="rId5" Type="http://schemas.openxmlformats.org/officeDocument/2006/relationships/custom-properties" Target="docProps/custom.xml" /><Relationship Id="rId4"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filterPrivacy="1"/>
  <xr:revisionPtr revIDLastSave="0" documentId="8_{0D985387-9680-E54E-9D45-68F5FBD7C732}" xr6:coauthVersionLast="47" xr6:coauthVersionMax="47" xr10:uidLastSave="{00000000-0000-0000-0000-000000000000}"/>
  <bookViews>
    <workbookView xWindow="-120" yWindow="-120" windowWidth="29040" windowHeight="15840" tabRatio="932" activeTab="10" xr2:uid="{00000000-000D-0000-FFFF-FFFF00000000}"/>
  </bookViews>
  <sheets>
    <sheet name="Integrantes del equipo" sheetId="16" r:id="rId1"/>
    <sheet name="Enero" sheetId="4" state="hidden" r:id="rId2"/>
    <sheet name="Febrero" sheetId="5" state="hidden" r:id="rId3"/>
    <sheet name="Marzo" sheetId="17" state="hidden" r:id="rId4"/>
    <sheet name="Abril" sheetId="18" state="hidden" r:id="rId5"/>
    <sheet name="Mayo" sheetId="19" state="hidden" r:id="rId6"/>
    <sheet name="Junio" sheetId="20" state="hidden" r:id="rId7"/>
    <sheet name="Julio" sheetId="21" state="hidden" r:id="rId8"/>
    <sheet name="Agosto" sheetId="22" state="hidden" r:id="rId9"/>
    <sheet name="Septiembre" sheetId="23" state="hidden" r:id="rId10"/>
    <sheet name="Octubre" sheetId="24" r:id="rId11"/>
    <sheet name="Noviembre" sheetId="25" r:id="rId12"/>
    <sheet name="Diciembre" sheetId="15" r:id="rId13"/>
  </sheets>
  <definedNames>
    <definedName name="CalendarYear">Enero!$AH$6</definedName>
    <definedName name="ColumnTitle13">Nombre_del_empleado[[#Headers],[Nombre de los integrantes del equipo]]</definedName>
    <definedName name="Employee_Absence_Title">Enero!$B$1</definedName>
    <definedName name="Key_name">Enero!$B$4</definedName>
    <definedName name="KeyCustom1">Enero!$O$4</definedName>
    <definedName name="KeyCustom1Label">Enero!$P$4</definedName>
    <definedName name="KeyCustom2">Enero!$T$4</definedName>
    <definedName name="KeyCustom2Label">Enero!$U$4</definedName>
    <definedName name="KeyPersonal">Enero!$G$4</definedName>
    <definedName name="KeyPersonalLabel">Enero!$H$4</definedName>
    <definedName name="KeySick">Enero!$K$4</definedName>
    <definedName name="KeySickLabel">Enero!$L$4</definedName>
    <definedName name="KeyVacation">Enero!$C$4</definedName>
    <definedName name="KeyVacationLabel">Enero!$D$4</definedName>
    <definedName name="MonthName" localSheetId="4">Abril!$B$2</definedName>
    <definedName name="MonthName" localSheetId="8">Agosto!$B$2</definedName>
    <definedName name="MonthName" localSheetId="12">Diciembre!$B$2</definedName>
    <definedName name="MonthName" localSheetId="1">Enero!$B$2</definedName>
    <definedName name="MonthName" localSheetId="2">Febrero!$B$2</definedName>
    <definedName name="MonthName" localSheetId="7">Julio!$B$2</definedName>
    <definedName name="MonthName" localSheetId="6">Junio!$B$2</definedName>
    <definedName name="MonthName" localSheetId="3">Marzo!$B$2</definedName>
    <definedName name="MonthName" localSheetId="5">Mayo!$B$4</definedName>
    <definedName name="MonthName" localSheetId="11">Noviembre!$B$2</definedName>
    <definedName name="MonthName" localSheetId="10">Octubre!$B$2</definedName>
    <definedName name="MonthName" localSheetId="9">Septiembre!$B$2</definedName>
    <definedName name="Title1">Enero[[#Headers],[Nombre de los integrantes]]</definedName>
    <definedName name="Title10">Octubre[[#Headers],[Nombre de los integrantes]]</definedName>
    <definedName name="Title11">Noviembre[[#Headers],[Nombre de los integrantes]]</definedName>
    <definedName name="Title12">Diciembre[[#Headers],[Nombre de los integrante]]</definedName>
    <definedName name="Title2">Febrero[[#Headers],[Nombre de los integrantes]]</definedName>
    <definedName name="Title3">Marzo[[#Headers],[Nombre de los integrantes]]</definedName>
    <definedName name="Title4">March5[[#Headers],[Nombre de los integrantes]]</definedName>
    <definedName name="Title5">March58[[#Headers],[Nombre de los integrantes]]</definedName>
    <definedName name="Title6">Junio[[#Headers],[Nombre de los integrantes]]</definedName>
    <definedName name="Title7">Julio[[#Headers],[Nombre de los integrantes]]</definedName>
    <definedName name="Title8">Agosto[[#Headers],[Nombre de los integrantes]]</definedName>
    <definedName name="Title9">Septiembre[[#Headers],[Nombre de los integrantes]]</definedName>
    <definedName name="_xlnm.Print_Titles" localSheetId="4">Abril!$7:$9</definedName>
    <definedName name="_xlnm.Print_Titles" localSheetId="8">Agosto!$6:$8</definedName>
    <definedName name="_xlnm.Print_Titles" localSheetId="12">Diciembre!$6:$8</definedName>
    <definedName name="_xlnm.Print_Titles" localSheetId="1">Enero!$6:$8</definedName>
    <definedName name="_xlnm.Print_Titles" localSheetId="2">Febrero!$6:$8</definedName>
    <definedName name="_xlnm.Print_Titles" localSheetId="7">Julio!$7:$8</definedName>
    <definedName name="_xlnm.Print_Titles" localSheetId="6">Junio!$6:$8</definedName>
    <definedName name="_xlnm.Print_Titles" localSheetId="3">Marzo!$6:$8</definedName>
    <definedName name="_xlnm.Print_Titles" localSheetId="5">Mayo!$4:$6</definedName>
    <definedName name="_xlnm.Print_Titles" localSheetId="11">Noviembre!$6:$8</definedName>
    <definedName name="_xlnm.Print_Titles" localSheetId="10">Octubre!$6:$8</definedName>
    <definedName name="_xlnm.Print_Titles" localSheetId="9">Septiembre!$6:$8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0" i="24" l="1"/>
  <c r="AH9" i="15"/>
  <c r="AH10" i="15"/>
  <c r="AH11" i="15"/>
  <c r="AH12" i="15"/>
  <c r="AH13" i="15"/>
  <c r="AH9" i="23"/>
  <c r="AH10" i="23"/>
  <c r="AH11" i="23"/>
  <c r="AH12" i="23"/>
  <c r="AH13" i="23"/>
  <c r="AH9" i="25"/>
  <c r="AH10" i="25"/>
  <c r="AH11" i="25"/>
  <c r="AH12" i="25"/>
  <c r="AH13" i="25"/>
  <c r="AH9" i="24"/>
  <c r="AH11" i="24"/>
  <c r="AH12" i="24"/>
  <c r="AH13" i="2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AE7" i="5"/>
  <c r="AD7" i="5"/>
  <c r="AC7" i="5"/>
  <c r="AB7" i="5"/>
  <c r="AA7" i="5"/>
  <c r="Z7" i="5"/>
  <c r="Y7" i="5"/>
  <c r="X7" i="5"/>
  <c r="W7" i="5"/>
  <c r="V7" i="5"/>
  <c r="U7" i="5"/>
  <c r="T7" i="5"/>
  <c r="S7" i="5"/>
  <c r="R7" i="5"/>
  <c r="Q7" i="5"/>
  <c r="P7" i="5"/>
  <c r="O7" i="5"/>
  <c r="N7" i="5"/>
  <c r="M7" i="5"/>
  <c r="L7" i="5"/>
  <c r="K7" i="5"/>
  <c r="J7" i="5"/>
  <c r="I7" i="5"/>
  <c r="H7" i="5"/>
  <c r="G7" i="5"/>
  <c r="F7" i="5"/>
  <c r="E7" i="5"/>
  <c r="D7" i="5"/>
  <c r="C7" i="5"/>
  <c r="AG7" i="17"/>
  <c r="AF7" i="17"/>
  <c r="AE7" i="17"/>
  <c r="AD7" i="17"/>
  <c r="AC7" i="17"/>
  <c r="AB7" i="17"/>
  <c r="AA7" i="17"/>
  <c r="Z7" i="17"/>
  <c r="Y7" i="17"/>
  <c r="X7" i="17"/>
  <c r="W7" i="17"/>
  <c r="V7" i="17"/>
  <c r="U7" i="17"/>
  <c r="T7" i="17"/>
  <c r="S7" i="17"/>
  <c r="R7" i="17"/>
  <c r="Q7" i="17"/>
  <c r="P7" i="17"/>
  <c r="O7" i="17"/>
  <c r="N7" i="17"/>
  <c r="M7" i="17"/>
  <c r="L7" i="17"/>
  <c r="K7" i="17"/>
  <c r="J7" i="17"/>
  <c r="I7" i="17"/>
  <c r="H7" i="17"/>
  <c r="G7" i="17"/>
  <c r="F7" i="17"/>
  <c r="E7" i="17"/>
  <c r="D7" i="17"/>
  <c r="C7" i="17"/>
  <c r="AF7" i="18"/>
  <c r="AE7" i="18"/>
  <c r="AD7" i="18"/>
  <c r="AC7" i="18"/>
  <c r="AB7" i="18"/>
  <c r="AA7" i="18"/>
  <c r="Z7" i="18"/>
  <c r="Y7" i="18"/>
  <c r="X7" i="18"/>
  <c r="W7" i="18"/>
  <c r="V7" i="18"/>
  <c r="U7" i="18"/>
  <c r="T7" i="18"/>
  <c r="S7" i="18"/>
  <c r="R7" i="18"/>
  <c r="Q7" i="18"/>
  <c r="P7" i="18"/>
  <c r="O7" i="18"/>
  <c r="N7" i="18"/>
  <c r="M7" i="18"/>
  <c r="L7" i="18"/>
  <c r="K7" i="18"/>
  <c r="J7" i="18"/>
  <c r="I7" i="18"/>
  <c r="H7" i="18"/>
  <c r="G7" i="18"/>
  <c r="F7" i="18"/>
  <c r="E7" i="18"/>
  <c r="D7" i="18"/>
  <c r="C7" i="18"/>
  <c r="AF7" i="20"/>
  <c r="AE7" i="20"/>
  <c r="AD7" i="20"/>
  <c r="AC7" i="20"/>
  <c r="AB7" i="20"/>
  <c r="AA7" i="20"/>
  <c r="Z7" i="20"/>
  <c r="Y7" i="20"/>
  <c r="X7" i="20"/>
  <c r="W7" i="20"/>
  <c r="V7" i="20"/>
  <c r="U7" i="20"/>
  <c r="T7" i="20"/>
  <c r="S7" i="20"/>
  <c r="R7" i="20"/>
  <c r="Q7" i="20"/>
  <c r="P7" i="20"/>
  <c r="O7" i="20"/>
  <c r="N7" i="20"/>
  <c r="M7" i="20"/>
  <c r="L7" i="20"/>
  <c r="K7" i="20"/>
  <c r="J7" i="20"/>
  <c r="I7" i="20"/>
  <c r="H7" i="20"/>
  <c r="G7" i="20"/>
  <c r="F7" i="20"/>
  <c r="E7" i="20"/>
  <c r="D7" i="20"/>
  <c r="C7" i="20"/>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D7" i="21"/>
  <c r="C7" i="21"/>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AF7" i="23"/>
  <c r="AE7" i="23"/>
  <c r="AD7" i="23"/>
  <c r="AC7" i="23"/>
  <c r="AB7" i="23"/>
  <c r="AA7" i="23"/>
  <c r="Z7" i="23"/>
  <c r="Y7" i="23"/>
  <c r="X7" i="23"/>
  <c r="W7" i="23"/>
  <c r="V7" i="23"/>
  <c r="U7" i="23"/>
  <c r="T7" i="23"/>
  <c r="S7" i="23"/>
  <c r="R7" i="23"/>
  <c r="Q7" i="23"/>
  <c r="P7" i="23"/>
  <c r="O7" i="23"/>
  <c r="N7" i="23"/>
  <c r="M7" i="23"/>
  <c r="L7" i="23"/>
  <c r="K7" i="23"/>
  <c r="J7" i="23"/>
  <c r="I7" i="23"/>
  <c r="H7" i="23"/>
  <c r="G7" i="23"/>
  <c r="F7" i="23"/>
  <c r="E7" i="23"/>
  <c r="D7" i="23"/>
  <c r="C7" i="23"/>
  <c r="AG7" i="24"/>
  <c r="AF7" i="24"/>
  <c r="AE7" i="24"/>
  <c r="AD7" i="24"/>
  <c r="AC7" i="24"/>
  <c r="AB7" i="24"/>
  <c r="AA7" i="24"/>
  <c r="Z7" i="24"/>
  <c r="Y7" i="24"/>
  <c r="X7" i="24"/>
  <c r="W7" i="24"/>
  <c r="V7" i="24"/>
  <c r="U7" i="24"/>
  <c r="T7" i="24"/>
  <c r="S7" i="24"/>
  <c r="R7" i="24"/>
  <c r="Q7" i="24"/>
  <c r="P7" i="24"/>
  <c r="O7" i="24"/>
  <c r="N7" i="24"/>
  <c r="M7" i="24"/>
  <c r="L7" i="24"/>
  <c r="K7" i="24"/>
  <c r="J7" i="24"/>
  <c r="I7" i="24"/>
  <c r="H7" i="24"/>
  <c r="G7" i="24"/>
  <c r="F7" i="24"/>
  <c r="E7" i="24"/>
  <c r="D7" i="24"/>
  <c r="C7" i="24"/>
  <c r="AF7" i="25"/>
  <c r="AE7" i="25"/>
  <c r="AD7" i="25"/>
  <c r="AC7" i="25"/>
  <c r="AB7" i="25"/>
  <c r="AA7" i="25"/>
  <c r="Z7" i="25"/>
  <c r="Y7" i="25"/>
  <c r="X7" i="25"/>
  <c r="W7" i="25"/>
  <c r="V7" i="25"/>
  <c r="U7" i="25"/>
  <c r="T7" i="25"/>
  <c r="S7" i="25"/>
  <c r="R7" i="25"/>
  <c r="Q7" i="25"/>
  <c r="P7" i="25"/>
  <c r="O7" i="25"/>
  <c r="N7" i="25"/>
  <c r="M7" i="25"/>
  <c r="L7" i="25"/>
  <c r="K7" i="25"/>
  <c r="J7" i="25"/>
  <c r="I7" i="25"/>
  <c r="H7" i="25"/>
  <c r="G7" i="25"/>
  <c r="F7" i="25"/>
  <c r="E7" i="25"/>
  <c r="D7" i="25"/>
  <c r="C7" i="25"/>
  <c r="AG7" i="15"/>
  <c r="AF7" i="15"/>
  <c r="AE7" i="15"/>
  <c r="AD7" i="15"/>
  <c r="AC7" i="15"/>
  <c r="AB7" i="15"/>
  <c r="AA7" i="15"/>
  <c r="Z7" i="15"/>
  <c r="Y7" i="15"/>
  <c r="X7" i="15"/>
  <c r="W7" i="15"/>
  <c r="V7" i="15"/>
  <c r="U7" i="15"/>
  <c r="T7" i="15"/>
  <c r="S7" i="15"/>
  <c r="R7" i="15"/>
  <c r="Q7" i="15"/>
  <c r="P7" i="15"/>
  <c r="O7" i="15"/>
  <c r="N7" i="15"/>
  <c r="M7" i="15"/>
  <c r="L7" i="15"/>
  <c r="K7" i="15"/>
  <c r="J7" i="15"/>
  <c r="I7" i="15"/>
  <c r="H7" i="15"/>
  <c r="G7" i="15"/>
  <c r="F7" i="15"/>
  <c r="E7" i="15"/>
  <c r="D7" i="15"/>
  <c r="C7" i="15"/>
  <c r="AG7" i="19"/>
  <c r="AF7" i="19"/>
  <c r="AE7" i="19"/>
  <c r="AD7" i="19"/>
  <c r="AC7" i="19"/>
  <c r="AB7" i="19"/>
  <c r="AA7" i="19"/>
  <c r="Z7" i="19"/>
  <c r="Y7" i="19"/>
  <c r="X7" i="19"/>
  <c r="W7" i="19"/>
  <c r="V7" i="19"/>
  <c r="U7" i="19"/>
  <c r="T7" i="19"/>
  <c r="S7" i="19"/>
  <c r="R7" i="19"/>
  <c r="Q7" i="19"/>
  <c r="P7" i="19"/>
  <c r="O7" i="19"/>
  <c r="N7" i="19"/>
  <c r="M7" i="19"/>
  <c r="L7" i="19"/>
  <c r="K7" i="19"/>
  <c r="J7" i="19"/>
  <c r="I7" i="19"/>
  <c r="H7" i="19"/>
  <c r="G7" i="19"/>
  <c r="F7" i="19"/>
  <c r="E7" i="19"/>
  <c r="D7" i="19"/>
  <c r="C7" i="19"/>
  <c r="AH14" i="24"/>
  <c r="AH6" i="15"/>
  <c r="AH6" i="25"/>
  <c r="AH6" i="24"/>
  <c r="AH6" i="23"/>
  <c r="AH6" i="22"/>
  <c r="AH6" i="21"/>
  <c r="AH6" i="20"/>
  <c r="AH13" i="19"/>
  <c r="AH12" i="19"/>
  <c r="AH11" i="19"/>
  <c r="AH10" i="19"/>
  <c r="AH9" i="19"/>
  <c r="AH6" i="19"/>
  <c r="AH13" i="18"/>
  <c r="AH12" i="18"/>
  <c r="AH11" i="18"/>
  <c r="AH10" i="18"/>
  <c r="AH9" i="18"/>
  <c r="AH6" i="18"/>
  <c r="AH6" i="17"/>
  <c r="AH11" i="4"/>
  <c r="AH12" i="4"/>
  <c r="AH14" i="18"/>
  <c r="AH14" i="19"/>
  <c r="AH13" i="22"/>
  <c r="AH12" i="22"/>
  <c r="AH11" i="22"/>
  <c r="AH10" i="22"/>
  <c r="AH9" i="22"/>
  <c r="AH13" i="21"/>
  <c r="AH12" i="21"/>
  <c r="AH11" i="21"/>
  <c r="AH10" i="21"/>
  <c r="AH9" i="21"/>
  <c r="AH13" i="20"/>
  <c r="AH12" i="20"/>
  <c r="AH11" i="20"/>
  <c r="AH10" i="20"/>
  <c r="AH9" i="20"/>
  <c r="AH13" i="17"/>
  <c r="AH12" i="17"/>
  <c r="AH11" i="17"/>
  <c r="AH10" i="17"/>
  <c r="AH9" i="17"/>
  <c r="AH14" i="23"/>
  <c r="AH14" i="17"/>
  <c r="AH14" i="21"/>
  <c r="AH14" i="22"/>
  <c r="AH14" i="25"/>
  <c r="AH14" i="20"/>
  <c r="AH6" i="5"/>
  <c r="AH14" i="15"/>
  <c r="AH13" i="5"/>
  <c r="AH12" i="5"/>
  <c r="AH11" i="5"/>
  <c r="AH13" i="4"/>
  <c r="AH10" i="5"/>
  <c r="AH9" i="5"/>
  <c r="AH14" i="5"/>
  <c r="AH9" i="4"/>
  <c r="AH10" i="4"/>
  <c r="AH14" i="4"/>
</calcChain>
</file>

<file path=xl/sharedStrings.xml><?xml version="1.0" encoding="utf-8"?>
<sst xmlns="http://schemas.openxmlformats.org/spreadsheetml/2006/main" count="1167" uniqueCount="66">
  <si>
    <t>Enero</t>
  </si>
  <si>
    <t>1</t>
  </si>
  <si>
    <t>2</t>
  </si>
  <si>
    <t>3</t>
  </si>
  <si>
    <t>P</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</si>
  <si>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</si>
  <si>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</si>
  <si>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</si>
  <si>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</si>
  <si>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</si>
  <si>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</si>
  <si>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</si>
  <si>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</si>
  <si>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</si>
  <si>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</si>
  <si>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</si>
  <si>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</si>
  <si>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</si>
  <si>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</si>
  <si>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</si>
  <si>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</si>
  <si>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</si>
  <si>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</si>
  <si>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</si>
  <si>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</si>
  <si>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</si>
  <si>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</si>
  <si>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</si>
  <si>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</si>
  <si>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</si>
  <si>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</si>
  <si>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</si>
  <si>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</si>
  <si>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Total de días</t>
  </si>
  <si>
    <t>Febrero</t>
  </si>
  <si>
    <t xml:space="preserve"> </t>
  </si>
  <si>
    <t xml:space="preserve">  </t>
  </si>
  <si>
    <t>Marzo</t>
  </si>
  <si>
    <t>Abril</t>
  </si>
  <si>
    <t>Mayo</t>
  </si>
  <si>
    <t>Junio</t>
  </si>
  <si>
    <t>Julio</t>
  </si>
  <si>
    <t>Agosto</t>
  </si>
  <si>
    <t>Septiembre</t>
  </si>
  <si>
    <t>Octubre</t>
  </si>
  <si>
    <t>Noviembre</t>
  </si>
  <si>
    <t>Diciembre</t>
  </si>
  <si>
    <t>Nombre de los integrantes del equipo</t>
  </si>
  <si>
    <t>Alan Martin Bracamonte Dzib</t>
  </si>
  <si>
    <t>Angel Jafet Puc Uch</t>
  </si>
  <si>
    <t>Maximiliano Montoya De La Cruz</t>
  </si>
  <si>
    <t>Ingrid Abigail Can Catzin</t>
  </si>
  <si>
    <t>Alejandro Emmanuel Quintal Moo</t>
  </si>
  <si>
    <t>Cronograma de manejo de sprints</t>
  </si>
  <si>
    <t>Nombre de los integrante</t>
  </si>
  <si>
    <t>Fin de semana</t>
  </si>
  <si>
    <t>F</t>
  </si>
  <si>
    <t>Personalizado</t>
  </si>
  <si>
    <t>Total de horas</t>
  </si>
  <si>
    <t>Numero de sprint</t>
  </si>
  <si>
    <t>Fechas de los sprints</t>
  </si>
  <si>
    <t>Equipo de ClinicalMind</t>
  </si>
  <si>
    <t>Nombre de los integrantes</t>
  </si>
  <si>
    <t xml:space="preserve">Claves </t>
  </si>
  <si>
    <t>Horas trabajadas por dia de los sprints</t>
  </si>
  <si>
    <t>Pausa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</si>
</sst>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_-* #,##0.00\ &quot;€&quot;_-;\-* #,##0.00\ &quot;€&quot;_-;_-* &quot;-&quot;??\ &quot;€&quot;_-;_-@_-"/>
    <numFmt numFmtId="166" formatCode="0;0;"/>
  </numFmts>
  <fonts count="34" x14ac:knownFonts="1">
    <font>
      <sz val="11"/>
      <color theme="0"/>
      <name val="Calibri"/>
      <family val="2"/>
    </font>
    <font>
      <sz val="11"/>
      <color theme="1"/>
      <name val="Calibri"/>
      <family val="2"/>
      <scheme val="minor"/>
    </font>
    <font>
      <sz val="11"/>
      <color theme="0"/>
      <name val="Calibri"/>
      <family val="2"/>
      <scheme val="minor"/>
    </font>
    <font>
      <sz val="11"/>
      <color rgb="FF000000"/>
      <name val="Calibri"/>
      <family val="2"/>
      <scheme val="minor"/>
    </font>
    <font>
      <b/>
      <sz val="18"/>
      <color theme="3"/>
      <name val="Calibri"/>
      <family val="2"/>
      <scheme val="minor"/>
    </font>
    <font>
      <b/>
      <sz val="11"/>
      <color theme="0"/>
      <name val="Calibri"/>
      <family val="2"/>
      <scheme val="minor"/>
    </font>
    <font>
      <b/>
      <sz val="72"/>
      <color theme="6" tint="0.39997558519241921"/>
      <name val="Calibri"/>
      <family val="2"/>
      <scheme val="minor"/>
    </font>
    <font>
      <sz val="8"/>
      <name val="Calibri"/>
      <family val="2"/>
      <scheme val="minor"/>
    </font>
    <font>
      <b/>
      <sz val="18"/>
      <color theme="4" tint="9.9948118533890809E-2"/>
      <name val="Calibri"/>
      <family val="2"/>
      <scheme val="minor"/>
    </font>
    <font>
      <b/>
      <sz val="72"/>
      <color theme="4" tint="0.249977111117893"/>
      <name val="Calibri"/>
      <family val="2"/>
      <scheme val="minor"/>
    </font>
    <font>
      <b/>
      <sz val="11"/>
      <name val="Calibri"/>
      <family val="2"/>
      <scheme val="minor"/>
    </font>
    <font>
      <b/>
      <sz val="72"/>
      <color theme="7" tint="-0.249977111117893"/>
      <name val="Calibri"/>
      <family val="2"/>
      <scheme val="minor"/>
    </font>
    <font>
      <b/>
      <sz val="72"/>
      <color theme="8" tint="-0.249977111117893"/>
      <name val="Calibri"/>
      <family val="2"/>
      <scheme val="minor"/>
    </font>
    <font>
      <sz val="11"/>
      <color theme="1"/>
      <name val="Calibri"/>
      <family val="2"/>
      <charset val="134"/>
    </font>
    <font>
      <sz val="11"/>
      <color theme="1"/>
      <name val="Calibri"/>
      <family val="2"/>
    </font>
    <font>
      <b/>
      <sz val="11"/>
      <color theme="1"/>
      <name val="Calibri"/>
      <family val="2"/>
    </font>
    <font>
      <sz val="11"/>
      <color theme="0"/>
      <name val="Calibri"/>
      <family val="2"/>
    </font>
    <font>
      <sz val="11"/>
      <color theme="0"/>
      <name val="Calibri"/>
      <family val="2"/>
      <charset val="134"/>
    </font>
    <font>
      <sz val="11"/>
      <color rgb="FF9C0006"/>
      <name val="Calibri"/>
      <family val="2"/>
      <charset val="134"/>
    </font>
    <font>
      <b/>
      <sz val="11"/>
      <color rgb="FFFA7D00"/>
      <name val="Calibri"/>
      <family val="2"/>
      <charset val="134"/>
    </font>
    <font>
      <b/>
      <sz val="11"/>
      <color theme="0"/>
      <name val="Calibri"/>
      <family val="2"/>
      <charset val="134"/>
    </font>
    <font>
      <sz val="11"/>
      <color theme="4" tint="-0.499984740745262"/>
      <name val="Calibri"/>
      <family val="2"/>
    </font>
    <font>
      <i/>
      <sz val="11"/>
      <color rgb="FF7F7F7F"/>
      <name val="Calibri"/>
      <family val="2"/>
      <charset val="134"/>
    </font>
    <font>
      <sz val="11"/>
      <color rgb="FF006100"/>
      <name val="Calibri"/>
      <family val="2"/>
      <charset val="134"/>
    </font>
    <font>
      <b/>
      <sz val="26"/>
      <color theme="3" tint="-0.24994659260841701"/>
      <name val="Calibri"/>
      <family val="2"/>
    </font>
    <font>
      <b/>
      <sz val="18"/>
      <color theme="4" tint="-0.24994659260841701"/>
      <name val="Calibri"/>
      <family val="2"/>
    </font>
    <font>
      <sz val="11"/>
      <color rgb="FF3F3F76"/>
      <name val="Calibri"/>
      <family val="2"/>
      <charset val="134"/>
    </font>
    <font>
      <sz val="11"/>
      <color rgb="FFFA7D00"/>
      <name val="Calibri"/>
      <family val="2"/>
      <charset val="134"/>
    </font>
    <font>
      <sz val="11"/>
      <color rgb="FF9C5700"/>
      <name val="Calibri"/>
      <family val="2"/>
      <charset val="134"/>
    </font>
    <font>
      <b/>
      <sz val="11"/>
      <color rgb="FF3F3F3F"/>
      <name val="Calibri"/>
      <family val="2"/>
      <charset val="134"/>
    </font>
    <font>
      <b/>
      <sz val="26"/>
      <color theme="3"/>
      <name val="Calibri"/>
      <family val="2"/>
    </font>
    <font>
      <sz val="11"/>
      <color rgb="FFFF0000"/>
      <name val="Calibri"/>
      <family val="2"/>
      <charset val="134"/>
    </font>
    <font>
      <sz val="9"/>
      <name val="DengXian"/>
      <family val="3"/>
      <charset val="134"/>
    </font>
    <font>
      <b/>
      <sz val="11"/>
      <color theme="0"/>
      <name val="Calibri"/>
      <family val="2"/>
    </font>
  </fonts>
  <fills count="36">
    <fill>
      <patternFill patternType="none"/>
    </fill>
    <fill>
      <patternFill patternType="gray125"/>
    </fill>
    <fill>
      <patternFill patternType="solid">
        <fgColor theme="2"/>
        <bgColor indexed="64"/>
      </patternFill>
    </fill>
    <fill>
      <patternFill patternType="solid">
        <fgColor theme="7"/>
        <bgColor indexed="64"/>
      </patternFill>
    </fill>
    <fill>
      <patternFill patternType="solid">
        <fgColor theme="7" tint="0.79998168889431442"/>
        <bgColor indexed="65"/>
      </patternFill>
    </fill>
    <fill>
      <patternFill patternType="solid">
        <fgColor theme="7" tint="0.39997558519241921"/>
        <bgColor indexed="65"/>
      </patternFill>
    </fill>
    <fill>
      <patternFill patternType="solid">
        <fgColor theme="3" tint="0.79998168889431442"/>
        <bgColor indexed="64"/>
      </patternFill>
    </fill>
    <fill>
      <patternFill patternType="solid">
        <fgColor theme="3" tint="-0.24994659260841701"/>
        <bgColor indexed="64"/>
      </patternFill>
    </fill>
    <fill>
      <patternFill patternType="solid">
        <fgColor theme="3" tint="0.39994506668294322"/>
        <bgColor indexed="64"/>
      </patternFill>
    </fill>
    <fill>
      <patternFill patternType="solid">
        <fgColor theme="7" tint="0.59996337778862885"/>
        <bgColor indexed="64"/>
      </patternFill>
    </fill>
    <fill>
      <patternFill patternType="solid">
        <fgColor theme="5" tint="0.59999389629810485"/>
        <bgColor indexed="65"/>
      </patternFill>
    </fill>
    <fill>
      <patternFill patternType="solid">
        <fgColor theme="6"/>
      </patternFill>
    </fill>
    <fill>
      <patternFill patternType="solid">
        <fgColor theme="6" tint="0.59999389629810485"/>
        <bgColor indexed="65"/>
      </patternFill>
    </fill>
    <fill>
      <patternFill patternType="solid">
        <fgColor theme="6" tint="0.39997558519241921"/>
        <bgColor indexed="65"/>
      </patternFill>
    </fill>
    <fill>
      <patternFill patternType="solid">
        <fgColor theme="8" tint="0.59999389629810485"/>
        <bgColor indexed="65"/>
      </patternFill>
    </fill>
    <fill>
      <patternFill patternType="solid">
        <fgColor theme="4" tint="0.3999450666829432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rgb="FFF8E3E0"/>
        <bgColor indexed="64"/>
      </patternFill>
    </fill>
    <fill>
      <patternFill patternType="solid">
        <fgColor theme="5" tint="0.39994506668294322"/>
        <bgColor indexed="64"/>
      </patternFill>
    </fill>
    <fill>
      <patternFill patternType="solid">
        <fgColor theme="6" tint="0.59996337778862885"/>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5" tint="0.79998168889431442"/>
        <bgColor indexed="65"/>
      </patternFill>
    </fill>
    <fill>
      <patternFill patternType="solid">
        <fgColor theme="5"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39997558519241921"/>
        <bgColor indexed="65"/>
      </patternFill>
    </fill>
    <fill>
      <patternFill patternType="solid">
        <fgColor rgb="FFC00000"/>
        <bgColor indexed="64"/>
      </patternFill>
    </fill>
    <fill>
      <patternFill patternType="solid">
        <fgColor rgb="FFFF0000"/>
        <bgColor indexed="64"/>
      </patternFill>
    </fill>
  </fills>
  <borders count="10">
    <border>
      <left/>
      <right/>
      <top/>
      <bottom/>
      <diagonal/>
    </border>
    <border>
      <left/>
      <right/>
      <top/>
      <bottom style="thin">
        <color theme="4"/>
      </bottom>
      <diagonal/>
    </border>
    <border>
      <left/>
      <right/>
      <top style="thin">
        <color theme="4"/>
      </top>
      <bottom/>
      <diagonal/>
    </border>
    <border>
      <left/>
      <right/>
      <top style="thin">
        <color auto="1"/>
      </top>
      <bottom/>
      <diagonal/>
    </border>
    <border>
      <left/>
      <right/>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horizontal="left" vertical="center"/>
    </xf>
    <xf numFmtId="0" fontId="30" fillId="0" borderId="0" applyNumberFormat="0" applyFill="0" applyBorder="0" applyProtection="0">
      <alignment vertical="top"/>
    </xf>
    <xf numFmtId="0" fontId="24" fillId="0" borderId="0" applyNumberFormat="0" applyFill="0" applyBorder="0" applyProtection="0">
      <alignment vertical="top"/>
    </xf>
    <xf numFmtId="0" fontId="25" fillId="2" borderId="0" applyNumberFormat="0" applyBorder="0" applyProtection="0">
      <alignment horizontal="center" vertical="center"/>
    </xf>
    <xf numFmtId="0" fontId="15" fillId="20" borderId="0" applyNumberFormat="0" applyProtection="0">
      <alignment horizontal="right" vertical="center" indent="1"/>
    </xf>
    <xf numFmtId="0" fontId="14" fillId="0" borderId="0" applyNumberFormat="0" applyFill="0" applyBorder="0" applyProtection="0">
      <alignment horizontal="left" vertical="center" indent="2"/>
    </xf>
    <xf numFmtId="0" fontId="16" fillId="3" borderId="0" applyNumberFormat="0" applyBorder="0" applyAlignment="0" applyProtection="0"/>
    <xf numFmtId="0" fontId="14" fillId="4" borderId="0" applyNumberFormat="0" applyBorder="0" applyProtection="0">
      <alignment horizontal="center" vertical="center"/>
    </xf>
    <xf numFmtId="0" fontId="15" fillId="9" borderId="0" applyNumberFormat="0" applyBorder="0" applyAlignment="0" applyProtection="0"/>
    <xf numFmtId="0" fontId="14" fillId="5" borderId="0" applyNumberFormat="0" applyBorder="0" applyAlignment="0" applyProtection="0"/>
    <xf numFmtId="0" fontId="16" fillId="7" borderId="0" applyNumberFormat="0" applyBorder="0" applyAlignment="0" applyProtection="0"/>
    <xf numFmtId="0" fontId="14" fillId="6" borderId="0" applyNumberFormat="0" applyBorder="0" applyAlignment="0" applyProtection="0"/>
    <xf numFmtId="0" fontId="15" fillId="15" borderId="0" applyNumberFormat="0" applyBorder="0" applyAlignment="0" applyProtection="0"/>
    <xf numFmtId="0" fontId="14" fillId="8" borderId="0" applyNumberFormat="0" applyBorder="0" applyAlignment="0" applyProtection="0"/>
    <xf numFmtId="0" fontId="16" fillId="15" borderId="0" applyNumberFormat="0" applyBorder="0" applyAlignment="0" applyProtection="0"/>
    <xf numFmtId="0" fontId="14" fillId="18" borderId="0" applyNumberFormat="0" applyBorder="0" applyAlignment="0" applyProtection="0"/>
    <xf numFmtId="0" fontId="15" fillId="17" borderId="0" applyNumberFormat="0" applyBorder="0" applyAlignment="0" applyProtection="0"/>
    <xf numFmtId="0" fontId="16" fillId="16" borderId="0" applyNumberFormat="0" applyBorder="0" applyAlignment="0" applyProtection="0"/>
    <xf numFmtId="0" fontId="16" fillId="19" borderId="0" applyNumberFormat="0" applyBorder="0" applyAlignment="0" applyProtection="0"/>
    <xf numFmtId="0" fontId="15" fillId="10" borderId="0" applyNumberFormat="0" applyBorder="0" applyAlignment="0" applyProtection="0"/>
    <xf numFmtId="0" fontId="16" fillId="11" borderId="0" applyNumberFormat="0" applyBorder="0" applyAlignment="0" applyProtection="0"/>
    <xf numFmtId="0" fontId="14" fillId="2" borderId="0" applyNumberFormat="0" applyBorder="0" applyAlignment="0" applyProtection="0"/>
    <xf numFmtId="0" fontId="15" fillId="12" borderId="0" applyNumberFormat="0" applyBorder="0" applyProtection="0">
      <alignment horizontal="left" vertical="center" indent="1"/>
    </xf>
    <xf numFmtId="0" fontId="15" fillId="13" borderId="0" applyNumberFormat="0" applyBorder="0" applyAlignment="0" applyProtection="0"/>
    <xf numFmtId="0" fontId="15" fillId="14" borderId="0" applyNumberFormat="0" applyBorder="0" applyAlignment="0" applyProtection="0"/>
    <xf numFmtId="1" fontId="14" fillId="0" borderId="0" applyFill="0" applyBorder="0" applyProtection="0">
      <alignment horizontal="center" vertical="center"/>
    </xf>
    <xf numFmtId="0" fontId="14" fillId="0" borderId="0" applyNumberFormat="0" applyFill="0" applyBorder="0">
      <alignment horizontal="left" vertical="center" wrapText="1" indent="2"/>
    </xf>
    <xf numFmtId="0" fontId="21" fillId="0" borderId="0">
      <alignment horizontal="center"/>
    </xf>
    <xf numFmtId="43" fontId="16" fillId="0" borderId="0" applyFont="0" applyFill="0" applyBorder="0" applyAlignment="0" applyProtection="0">
      <alignment vertical="center"/>
    </xf>
    <xf numFmtId="41" fontId="16" fillId="0" borderId="0" applyFont="0" applyFill="0" applyBorder="0" applyAlignment="0" applyProtection="0">
      <alignment vertical="center"/>
    </xf>
    <xf numFmtId="165" fontId="16" fillId="0" borderId="0" applyFont="0" applyFill="0" applyBorder="0" applyAlignment="0" applyProtection="0">
      <alignment vertical="center"/>
    </xf>
    <xf numFmtId="164" fontId="16" fillId="0" borderId="0" applyFont="0" applyFill="0" applyBorder="0" applyAlignment="0" applyProtection="0">
      <alignment vertical="center"/>
    </xf>
    <xf numFmtId="9" fontId="16" fillId="0" borderId="0" applyFont="0" applyFill="0" applyBorder="0" applyAlignment="0" applyProtection="0">
      <alignment vertical="center"/>
    </xf>
    <xf numFmtId="0" fontId="23" fillId="22" borderId="0" applyNumberFormat="0" applyBorder="0" applyAlignment="0" applyProtection="0">
      <alignment vertical="center"/>
    </xf>
    <xf numFmtId="0" fontId="18" fillId="23" borderId="0" applyNumberFormat="0" applyBorder="0" applyAlignment="0" applyProtection="0">
      <alignment vertical="center"/>
    </xf>
    <xf numFmtId="0" fontId="28" fillId="24" borderId="0" applyNumberFormat="0" applyBorder="0" applyAlignment="0" applyProtection="0">
      <alignment vertical="center"/>
    </xf>
    <xf numFmtId="0" fontId="26" fillId="25" borderId="5" applyNumberFormat="0" applyAlignment="0" applyProtection="0">
      <alignment vertical="center"/>
    </xf>
    <xf numFmtId="0" fontId="29" fillId="26" borderId="6" applyNumberFormat="0" applyAlignment="0" applyProtection="0">
      <alignment vertical="center"/>
    </xf>
    <xf numFmtId="0" fontId="19" fillId="26" borderId="5" applyNumberFormat="0" applyAlignment="0" applyProtection="0">
      <alignment vertical="center"/>
    </xf>
    <xf numFmtId="0" fontId="27" fillId="0" borderId="7" applyNumberFormat="0" applyFill="0" applyAlignment="0" applyProtection="0">
      <alignment vertical="center"/>
    </xf>
    <xf numFmtId="0" fontId="20" fillId="27" borderId="8" applyNumberFormat="0" applyAlignment="0" applyProtection="0">
      <alignment vertical="center"/>
    </xf>
    <xf numFmtId="0" fontId="31" fillId="0" borderId="0" applyNumberFormat="0" applyFill="0" applyBorder="0" applyAlignment="0" applyProtection="0">
      <alignment vertical="center"/>
    </xf>
    <xf numFmtId="0" fontId="16" fillId="28" borderId="9" applyNumberFormat="0" applyFont="0" applyAlignment="0" applyProtection="0">
      <alignment vertical="center"/>
    </xf>
    <xf numFmtId="0" fontId="22" fillId="0" borderId="0" applyNumberFormat="0" applyFill="0" applyBorder="0" applyAlignment="0" applyProtection="0">
      <alignment vertical="center"/>
    </xf>
    <xf numFmtId="0" fontId="13" fillId="29" borderId="0" applyNumberFormat="0" applyBorder="0" applyAlignment="0" applyProtection="0">
      <alignment vertical="center"/>
    </xf>
    <xf numFmtId="0" fontId="13" fillId="30" borderId="0" applyNumberFormat="0" applyBorder="0" applyAlignment="0" applyProtection="0">
      <alignment vertical="center"/>
    </xf>
    <xf numFmtId="0" fontId="17" fillId="31" borderId="0" applyNumberFormat="0" applyBorder="0" applyAlignment="0" applyProtection="0">
      <alignment vertical="center"/>
    </xf>
    <xf numFmtId="0" fontId="13" fillId="32" borderId="0" applyNumberFormat="0" applyBorder="0" applyAlignment="0" applyProtection="0">
      <alignment vertical="center"/>
    </xf>
    <xf numFmtId="0" fontId="13" fillId="33" borderId="0" applyNumberFormat="0" applyBorder="0" applyAlignment="0" applyProtection="0">
      <alignment vertical="center"/>
    </xf>
  </cellStyleXfs>
  <cellXfs count="38">
    <xf numFmtId="0" fontId="0" fillId="0" borderId="0" xfId="0">
      <alignment horizontal="left" vertical="center"/>
    </xf>
    <xf numFmtId="0" fontId="0" fillId="0" borderId="0" xfId="0" applyAlignment="1">
      <alignment horizontal="center" vertical="center"/>
    </xf>
    <xf numFmtId="0" fontId="14" fillId="0" borderId="0" xfId="26" applyFill="1" applyBorder="1">
      <alignment horizontal="left" vertical="center" wrapText="1" indent="2"/>
    </xf>
    <xf numFmtId="1" fontId="14" fillId="0" borderId="0" xfId="25" applyFill="1" applyBorder="1" applyProtection="1">
      <alignment horizontal="center" vertical="center"/>
    </xf>
    <xf numFmtId="166" fontId="0" fillId="0" borderId="0" xfId="0" applyNumberFormat="1" applyAlignment="1">
      <alignment horizontal="center" vertical="center"/>
    </xf>
    <xf numFmtId="0" fontId="3" fillId="0" borderId="0" xfId="0" applyFont="1" applyAlignment="1"/>
    <xf numFmtId="0" fontId="25" fillId="0" borderId="0" xfId="3" applyFill="1" applyProtection="1">
      <alignment horizontal="center" vertical="center"/>
    </xf>
    <xf numFmtId="0" fontId="15" fillId="0" borderId="0" xfId="4" applyFill="1" applyAlignment="1" applyProtection="1">
      <alignment horizontal="left" vertical="center" indent="1"/>
    </xf>
    <xf numFmtId="0" fontId="0" fillId="0" borderId="1" xfId="0" applyBorder="1">
      <alignment horizontal="left" vertical="center"/>
    </xf>
    <xf numFmtId="0" fontId="30" fillId="0" borderId="2" xfId="1" applyBorder="1" applyAlignment="1" applyProtection="1">
      <alignment vertical="center"/>
    </xf>
    <xf numFmtId="0" fontId="0" fillId="0" borderId="2" xfId="0" applyBorder="1">
      <alignment horizontal="left" vertical="center"/>
    </xf>
    <xf numFmtId="0" fontId="0" fillId="0" borderId="0" xfId="0" applyAlignment="1">
      <alignment horizontal="left" vertical="top"/>
    </xf>
    <xf numFmtId="0" fontId="4" fillId="0" borderId="0" xfId="1" applyFont="1" applyAlignment="1" applyProtection="1">
      <alignment horizontal="left" indent="1"/>
    </xf>
    <xf numFmtId="0" fontId="0" fillId="0" borderId="0" xfId="0" applyAlignment="1">
      <alignment horizontal="left" wrapText="1" indent="1"/>
    </xf>
    <xf numFmtId="0" fontId="0" fillId="0" borderId="0" xfId="0" applyAlignment="1">
      <alignment horizontal="left" indent="1"/>
    </xf>
    <xf numFmtId="0" fontId="0" fillId="0" borderId="3" xfId="0" applyBorder="1" applyAlignment="1">
      <alignment horizontal="left" indent="1"/>
    </xf>
    <xf numFmtId="0" fontId="0" fillId="0" borderId="4" xfId="0" applyBorder="1">
      <alignment horizontal="left" vertical="center"/>
    </xf>
    <xf numFmtId="0" fontId="21" fillId="0" borderId="4" xfId="27" applyBorder="1">
      <alignment horizontal="center"/>
    </xf>
    <xf numFmtId="166" fontId="5" fillId="9" borderId="0" xfId="8" applyNumberFormat="1" applyFont="1" applyAlignment="1" applyProtection="1">
      <alignment horizontal="center" vertical="center"/>
    </xf>
    <xf numFmtId="166" fontId="5" fillId="3" borderId="0" xfId="24" applyNumberFormat="1" applyFont="1" applyFill="1" applyAlignment="1" applyProtection="1">
      <alignment horizontal="center" vertical="center"/>
    </xf>
    <xf numFmtId="0" fontId="2" fillId="0" borderId="0" xfId="0" applyFont="1" applyAlignment="1">
      <alignment horizontal="center" vertical="center"/>
    </xf>
    <xf numFmtId="0" fontId="14" fillId="0" borderId="0" xfId="21" applyFill="1" applyBorder="1" applyAlignment="1" applyProtection="1">
      <alignment horizontal="left" vertical="center" indent="1"/>
    </xf>
    <xf numFmtId="0" fontId="1" fillId="0" borderId="0" xfId="0" applyFont="1" applyAlignment="1">
      <alignment horizontal="center" vertical="center"/>
    </xf>
    <xf numFmtId="0" fontId="14" fillId="21" borderId="0" xfId="21" applyFill="1" applyBorder="1" applyAlignment="1" applyProtection="1">
      <alignment horizontal="center" vertical="center"/>
    </xf>
    <xf numFmtId="0" fontId="6" fillId="0" borderId="0" xfId="3" applyFont="1" applyFill="1" applyAlignment="1" applyProtection="1">
      <alignment horizontal="left" vertical="top"/>
    </xf>
    <xf numFmtId="0" fontId="8" fillId="0" borderId="0" xfId="1" applyFont="1" applyAlignment="1" applyProtection="1">
      <alignment horizontal="left" indent="1"/>
    </xf>
    <xf numFmtId="0" fontId="9" fillId="0" borderId="0" xfId="3" applyFont="1" applyFill="1" applyAlignment="1" applyProtection="1">
      <alignment vertical="top"/>
    </xf>
    <xf numFmtId="0" fontId="9" fillId="0" borderId="0" xfId="3" applyFont="1" applyFill="1" applyAlignment="1" applyProtection="1">
      <alignment horizontal="left" vertical="top"/>
    </xf>
    <xf numFmtId="0" fontId="10" fillId="13" borderId="0" xfId="23" applyFont="1" applyAlignment="1" applyProtection="1">
      <alignment horizontal="center" vertical="center"/>
    </xf>
    <xf numFmtId="0" fontId="11" fillId="0" borderId="0" xfId="3" applyFont="1" applyFill="1" applyAlignment="1" applyProtection="1">
      <alignment horizontal="left" vertical="top"/>
    </xf>
    <xf numFmtId="0" fontId="12" fillId="0" borderId="0" xfId="3" applyFont="1" applyFill="1" applyAlignment="1" applyProtection="1">
      <alignment horizontal="left" vertical="top"/>
    </xf>
    <xf numFmtId="0" fontId="12" fillId="0" borderId="0" xfId="3" applyFont="1" applyFill="1" applyAlignment="1" applyProtection="1">
      <alignment vertical="top"/>
    </xf>
    <xf numFmtId="0" fontId="10" fillId="34" borderId="0" xfId="12" applyFont="1" applyFill="1" applyAlignment="1" applyProtection="1">
      <alignment horizontal="center" vertical="center"/>
    </xf>
    <xf numFmtId="0" fontId="33" fillId="0" borderId="0" xfId="0" applyFont="1" applyAlignment="1">
      <alignment horizontal="center" vertical="center"/>
    </xf>
    <xf numFmtId="0" fontId="10" fillId="35" borderId="0" xfId="19" applyFont="1" applyFill="1" applyAlignment="1" applyProtection="1">
      <alignment horizontal="center" vertical="center"/>
    </xf>
    <xf numFmtId="0" fontId="0" fillId="35" borderId="0" xfId="0" applyFill="1" applyAlignment="1">
      <alignment horizontal="center" vertical="center"/>
    </xf>
    <xf numFmtId="0" fontId="25" fillId="0" borderId="0" xfId="3" applyFill="1" applyAlignment="1" applyProtection="1">
      <alignment horizontal="left" vertical="center"/>
    </xf>
    <xf numFmtId="0" fontId="14" fillId="0" borderId="0" xfId="21" applyFill="1" applyAlignment="1" applyProtection="1">
      <alignment horizontal="left" vertical="center" indent="1"/>
    </xf>
  </cellXfs>
  <cellStyles count="49">
    <cellStyle name="20% - Énfasis1" xfId="15" builtinId="30" customBuiltin="1"/>
    <cellStyle name="20% - Énfasis2" xfId="44" builtinId="34" customBuiltin="1"/>
    <cellStyle name="20% - Énfasis3" xfId="21" builtinId="38" customBuiltin="1"/>
    <cellStyle name="20% - Énfasis4" xfId="7" builtinId="42" customBuiltin="1"/>
    <cellStyle name="20% - Énfasis5" xfId="47" builtinId="46" customBuiltin="1"/>
    <cellStyle name="20% - Énfasis6" xfId="11" builtinId="50" customBuiltin="1"/>
    <cellStyle name="40% - Énfasis1" xfId="16" builtinId="31" customBuiltin="1"/>
    <cellStyle name="40% - Énfasis2" xfId="19" builtinId="35" customBuiltin="1"/>
    <cellStyle name="40% - Énfasis3" xfId="22" builtinId="39" customBuiltin="1"/>
    <cellStyle name="40% - Énfasis4" xfId="8" builtinId="43" customBuiltin="1"/>
    <cellStyle name="40% - Énfasis5" xfId="24" builtinId="47" customBuiltin="1"/>
    <cellStyle name="40% - Énfasis6" xfId="12" builtinId="51" customBuiltin="1"/>
    <cellStyle name="60% - Énfasis1" xfId="17" builtinId="32" customBuiltin="1"/>
    <cellStyle name="60% - Énfasis2" xfId="45" builtinId="36" customBuiltin="1"/>
    <cellStyle name="60% - Énfasis3" xfId="23" builtinId="40" customBuiltin="1"/>
    <cellStyle name="60% - Énfasis4" xfId="9" builtinId="44" customBuiltin="1"/>
    <cellStyle name="60% - Énfasis5" xfId="48" builtinId="48" customBuiltin="1"/>
    <cellStyle name="60% - Énfasis6" xfId="13" builtinId="52" customBuiltin="1"/>
    <cellStyle name="Bueno" xfId="33" builtinId="26" customBuiltin="1"/>
    <cellStyle name="Cálculo" xfId="38" builtinId="22" customBuiltin="1"/>
    <cellStyle name="Celda de comprobación" xfId="40" builtinId="23" customBuiltin="1"/>
    <cellStyle name="Celda vinculada" xfId="39" builtinId="24" customBuiltin="1"/>
    <cellStyle name="Empleado" xfId="26" xr:uid="{00000000-0005-0000-0000-000013000000}"/>
    <cellStyle name="Encabezado 1" xfId="2" builtinId="16" customBuiltin="1"/>
    <cellStyle name="Encabezado 4" xfId="5" builtinId="19" customBuiltin="1"/>
    <cellStyle name="Énfasis1" xfId="14" builtinId="29" customBuiltin="1"/>
    <cellStyle name="Énfasis2" xfId="18" builtinId="33" customBuiltin="1"/>
    <cellStyle name="Énfasis3" xfId="20" builtinId="37" customBuiltin="1"/>
    <cellStyle name="Énfasis4" xfId="6" builtinId="41" customBuiltin="1"/>
    <cellStyle name="Énfasis5" xfId="46" builtinId="45" customBuiltin="1"/>
    <cellStyle name="Énfasis6" xfId="10" builtinId="49" customBuiltin="1"/>
    <cellStyle name="Entrada" xfId="36" builtinId="20" customBuiltin="1"/>
    <cellStyle name="Etiqueta" xfId="27" xr:uid="{00000000-0005-0000-0000-000018000000}"/>
    <cellStyle name="Incorrecto" xfId="34" builtinId="27" customBuiltin="1"/>
    <cellStyle name="Millares" xfId="28" builtinId="3" customBuiltin="1"/>
    <cellStyle name="Millares [0]" xfId="29" builtinId="6" customBuiltin="1"/>
    <cellStyle name="Moneda" xfId="30" builtinId="4" customBuiltin="1"/>
    <cellStyle name="Moneda [0]" xfId="31" builtinId="7" customBuiltin="1"/>
    <cellStyle name="Neutral" xfId="35" builtinId="28" customBuiltin="1"/>
    <cellStyle name="Normal" xfId="0" builtinId="0" customBuiltin="1"/>
    <cellStyle name="Notas" xfId="42" builtinId="10" customBuiltin="1"/>
    <cellStyle name="Porcentaje" xfId="32" builtinId="5" customBuiltin="1"/>
    <cellStyle name="Salida" xfId="37" builtinId="21" customBuiltin="1"/>
    <cellStyle name="Texto de advertencia" xfId="41" builtinId="11" customBuiltin="1"/>
    <cellStyle name="Texto explicativo" xfId="43" builtinId="53" customBuiltin="1"/>
    <cellStyle name="Título" xfId="1" builtinId="15" customBuiltin="1"/>
    <cellStyle name="Título 2" xfId="3" builtinId="17" customBuiltin="1"/>
    <cellStyle name="Título 3" xfId="4" builtinId="18" customBuiltin="1"/>
    <cellStyle name="Total" xfId="25" builtinId="25" customBuiltin="1"/>
  </cellStyles>
  <dxfs count="1136">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rgb="FFFF0000"/>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rgb="FFC00000"/>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theme="4" tint="0.39994506668294322"/>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6" tint="0.39994506668294322"/>
        </patternFill>
      </fill>
    </dxf>
    <dxf>
      <font>
        <color theme="1"/>
      </font>
      <fill>
        <patternFill>
          <bgColor rgb="FFC00000"/>
        </patternFill>
      </fill>
    </dxf>
    <dxf>
      <font>
        <color theme="1"/>
      </font>
      <fill>
        <patternFill>
          <bgColor theme="5" tint="0.59996337778862885"/>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b val="0"/>
        <i val="0"/>
        <color theme="3"/>
      </font>
      <border>
        <vertical/>
        <horizontal/>
      </border>
    </dxf>
    <dxf>
      <font>
        <color theme="0"/>
      </font>
      <border>
        <vertical/>
        <horizontal/>
      </border>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4" tint="0.39994506668294322"/>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theme="8" tint="0.59996337778862885"/>
        </patternFill>
      </fill>
    </dxf>
    <dxf>
      <font>
        <color theme="1"/>
      </font>
      <fill>
        <patternFill>
          <bgColor theme="7" tint="0.59996337778862885"/>
        </patternFill>
      </fill>
    </dxf>
    <dxf>
      <font>
        <color theme="1"/>
      </font>
      <fill>
        <patternFill>
          <bgColor theme="6" tint="0.39994506668294322"/>
        </patternFill>
      </fill>
    </dxf>
    <dxf>
      <font>
        <color theme="1"/>
      </font>
      <fill>
        <patternFill>
          <bgColor theme="5" tint="0.59996337778862885"/>
        </patternFill>
      </fill>
    </dxf>
    <dxf>
      <font>
        <color theme="1"/>
      </font>
      <fill>
        <patternFill>
          <bgColor rgb="FFC00000"/>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font>
        <color theme="1"/>
      </font>
      <fill>
        <patternFill>
          <bgColor rgb="FFC00000"/>
        </patternFill>
      </fill>
    </dxf>
    <dxf>
      <font>
        <color theme="1"/>
      </font>
      <fill>
        <patternFill>
          <bgColor theme="5" tint="0.59996337778862885"/>
        </patternFill>
      </fill>
    </dxf>
    <dxf>
      <font>
        <color theme="1"/>
      </font>
      <fill>
        <patternFill>
          <bgColor theme="6" tint="0.39994506668294322"/>
        </patternFill>
      </fill>
    </dxf>
    <dxf>
      <font>
        <color theme="1"/>
      </font>
      <fill>
        <patternFill>
          <bgColor theme="7" tint="0.59996337778862885"/>
        </patternFill>
      </fill>
    </dxf>
    <dxf>
      <font>
        <color theme="1"/>
      </font>
      <fill>
        <patternFill>
          <bgColor theme="8" tint="0.59996337778862885"/>
        </patternFill>
      </fill>
    </dxf>
    <dxf>
      <numFmt numFmtId="166" formatCode="0;0;"/>
      <alignment horizontal="center" vertical="center" textRotation="0" wrapText="0" indent="0" justifyLastLine="0" shrinkToFit="0" readingOrder="0"/>
    </dxf>
    <dxf>
      <numFmt numFmtId="1" formatCode="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 formatCode="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 formatCode="0"/>
      <protection locked="1" hidden="0"/>
    </dxf>
    <dxf>
      <numFmt numFmtId="166" formatCode="0;0;"/>
      <alignment horizontal="center" vertical="center" textRotation="0" wrapText="0" indent="0" justifyLastLine="0" shrinkToFit="0" readingOrder="0"/>
    </dxf>
    <dxf>
      <fill>
        <patternFill patternType="solid">
          <fgColor indexed="64"/>
          <bgColor rgb="FFFF0000"/>
        </patternFill>
      </fill>
      <protection locked="1" hidden="0"/>
    </dxf>
    <dxf>
      <numFmt numFmtId="166" formatCode="0;0;"/>
      <alignment horizontal="center" vertical="center" textRotation="0" wrapText="0" indent="0" justifyLastLine="0" shrinkToFit="0" readingOrder="0"/>
    </dxf>
    <dxf>
      <fill>
        <patternFill patternType="solid">
          <fgColor indexed="64"/>
          <bgColor rgb="FFFF0000"/>
        </patternFill>
      </fill>
      <protection locked="1" hidden="0"/>
    </dxf>
    <dxf>
      <numFmt numFmtId="166" formatCode="0;0;"/>
      <alignment horizontal="center" vertical="center" textRotation="0" wrapText="0" indent="0" justifyLastLine="0" shrinkToFit="0" readingOrder="0"/>
    </dxf>
    <dxf>
      <fill>
        <patternFill patternType="solid">
          <fgColor indexed="64"/>
          <bgColor rgb="FFFF0000"/>
        </patternFill>
      </fill>
      <protection locked="1" hidden="0"/>
    </dxf>
    <dxf>
      <numFmt numFmtId="166" formatCode="0;0;"/>
      <alignment horizontal="center" vertical="center" textRotation="0" wrapText="0" indent="0" justifyLastLine="0" shrinkToFit="0" readingOrder="0"/>
    </dxf>
    <dxf>
      <fill>
        <patternFill patternType="solid">
          <fgColor indexed="64"/>
          <bgColor rgb="FFFF0000"/>
        </patternFill>
      </fill>
      <protection locked="1" hidden="0"/>
    </dxf>
    <dxf>
      <numFmt numFmtId="166" formatCode="0;0;"/>
      <alignment horizontal="center" vertical="center" textRotation="0" wrapText="0" indent="0" justifyLastLine="0" shrinkToFit="0" readingOrder="0"/>
    </dxf>
    <dxf>
      <fill>
        <patternFill patternType="solid">
          <fgColor indexed="64"/>
          <bgColor rgb="FFFF0000"/>
        </patternFill>
      </fill>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numFmt numFmtId="1" formatCode="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numFmt numFmtId="0" formatCode="General"/>
      <fill>
        <patternFill patternType="none">
          <fgColor indexed="64"/>
          <bgColor indexed="65"/>
        </patternFill>
      </fill>
      <protection locked="1" hidden="0"/>
    </dxf>
    <dxf>
      <protection locked="1" hidden="0"/>
    </dxf>
    <dxf>
      <protection locked="1" hidden="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font>
        <b val="0"/>
        <i val="0"/>
        <strike val="0"/>
        <outline val="0"/>
        <shadow val="0"/>
        <u val="none"/>
        <vertAlign val="baseline"/>
        <sz val="11"/>
        <color theme="0"/>
        <name val="Calibri"/>
        <family val="2"/>
        <scheme val="minor"/>
      </font>
      <alignment horizontal="center" vertical="center"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fill>
        <patternFill patternType="none">
          <fgColor indexed="64"/>
          <bgColor indexed="65"/>
        </patternFill>
      </fill>
      <protection locked="1" hidden="0"/>
    </dxf>
    <dxf>
      <protection locked="1" hidden="0"/>
    </dxf>
    <dxf>
      <protection locked="1" hidden="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numFmt numFmtId="166" formatCode="0;0;"/>
      <alignment horizontal="center" vertical="center" textRotation="0" wrapText="0" indent="0" justifyLastLine="0" shrinkToFit="0" readingOrder="0"/>
    </dxf>
    <dxf>
      <protection locked="1" hidden="0"/>
    </dxf>
    <dxf>
      <font>
        <b/>
        <i val="0"/>
        <strike val="0"/>
        <condense val="0"/>
        <extend val="0"/>
        <outline val="0"/>
        <shadow val="0"/>
        <u val="none"/>
        <vertAlign val="baseline"/>
        <sz val="11"/>
        <color theme="0"/>
        <name val="Calibri"/>
        <family val="2"/>
        <scheme val="none"/>
      </font>
      <alignment horizontal="center" vertical="center" textRotation="0" wrapText="0" indent="0" justifyLastLine="0" shrinkToFit="0" readingOrder="0"/>
    </dxf>
    <dxf>
      <fill>
        <patternFill patternType="none">
          <fgColor indexed="64"/>
          <bgColor indexed="65"/>
        </patternFill>
      </fill>
    </dxf>
    <dxf>
      <protection locked="1" hidden="0"/>
    </dxf>
    <dxf>
      <protection locked="1" hidden="0"/>
    </dxf>
    <dxf>
      <alignment horizontal="center" vertical="center" textRotation="0" wrapText="0" indent="0" justifyLastLine="0" shrinkToFit="0" readingOrder="0"/>
    </dxf>
    <dxf>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5" tint="0.399945066682943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bgColor theme="2"/>
        </patternFill>
      </fill>
      <border diagonalUp="0" diagonalDown="0">
        <left/>
        <right/>
        <top/>
        <bottom style="thin">
          <color theme="0" tint="-0.14996795556505021"/>
        </bottom>
        <vertical/>
        <horizontal/>
      </border>
    </dxf>
    <dxf>
      <font>
        <color theme="1"/>
      </font>
      <fill>
        <patternFill patternType="none">
          <bgColor auto="1"/>
        </patternFill>
      </fill>
      <border diagonalUp="0" diagonalDown="0">
        <left/>
        <right/>
        <top style="thin">
          <color theme="0" tint="-0.14996795556505021"/>
        </top>
        <bottom style="thin">
          <color theme="0" tint="-0.14993743705557422"/>
        </bottom>
        <vertical/>
        <horizontal/>
      </border>
    </dxf>
    <dxf>
      <fill>
        <patternFill>
          <bgColor theme="0" tint="-0.14996795556505021"/>
        </patternFill>
      </fill>
      <border>
        <left style="thin">
          <color theme="0"/>
        </left>
        <right style="thin">
          <color theme="0"/>
        </right>
        <vertical style="thin">
          <color theme="0"/>
        </vertical>
      </border>
    </dxf>
    <dxf>
      <fill>
        <patternFill>
          <bgColor theme="0" tint="-4.9989318521683403E-2"/>
        </patternFill>
      </fill>
      <border>
        <left style="thin">
          <color theme="0"/>
        </left>
        <right style="thin">
          <color theme="0"/>
        </right>
        <top style="thick">
          <color theme="5" tint="0.59996337778862885"/>
        </top>
        <bottom style="thick">
          <color theme="5" tint="0.59996337778862885"/>
        </bottom>
        <vertical style="thin">
          <color theme="0"/>
        </vertical>
        <horizontal style="thick">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b/>
        <i val="0"/>
        <color theme="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theme="1"/>
      </font>
      <fill>
        <patternFill patternType="none">
          <bgColor auto="1"/>
        </patternFill>
      </fill>
      <border>
        <left/>
        <right/>
        <top style="thin">
          <color theme="5" tint="0.59996337778862885"/>
        </top>
        <bottom style="thin">
          <color theme="5" tint="0.59996337778862885"/>
        </bottom>
        <vertical/>
        <horizontal style="thin">
          <color theme="5" tint="0.59996337778862885"/>
        </horizontal>
      </border>
    </dxf>
    <dxf>
      <font>
        <color theme="1"/>
      </font>
      <fill>
        <patternFill>
          <bgColor theme="5" tint="0.39994506668294322"/>
        </patternFill>
      </fill>
      <border diagonalUp="0" diagonalDown="0">
        <left style="thin">
          <color theme="0"/>
        </left>
        <right style="thin">
          <color theme="0"/>
        </right>
        <top style="thick">
          <color theme="0"/>
        </top>
        <bottom style="thick">
          <color theme="5"/>
        </bottom>
        <vertical style="thick">
          <color theme="0"/>
        </vertical>
        <horizontal/>
      </border>
    </dxf>
    <dxf>
      <font>
        <color theme="0"/>
      </font>
      <fill>
        <patternFill>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theme="0"/>
      </font>
      <border diagonalUp="0" diagonalDown="0">
        <left/>
        <right/>
        <top/>
        <bottom style="thick">
          <color theme="0"/>
        </bottom>
        <vertical style="thick">
          <color theme="0"/>
        </vertical>
        <horizontal style="thick">
          <color theme="0"/>
        </horizontal>
      </border>
    </dxf>
    <dxf>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theme="1"/>
      </font>
      <fill>
        <patternFill patternType="solid">
          <fgColor theme="5" tint="0.39994506668294322"/>
          <bgColor theme="5" tint="0.39991454817346722"/>
        </patternFill>
      </fill>
      <border diagonalUp="0" diagonalDown="0">
        <left/>
        <right/>
        <top style="thin">
          <color theme="5" tint="0.59996337778862885"/>
        </top>
        <bottom style="thick">
          <color theme="5"/>
        </bottom>
        <vertical style="thick">
          <color theme="0"/>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ont>
        <color auto="1"/>
      </font>
      <fill>
        <patternFill patternType="none">
          <bgColor auto="1"/>
        </patternFill>
      </fill>
      <border diagonalUp="0" diagonalDown="0">
        <left/>
        <right/>
        <top style="thin">
          <color theme="5" tint="0.59996337778862885"/>
        </top>
        <bottom style="thin">
          <color theme="5" tint="0.59996337778862885"/>
        </bottom>
        <vertical/>
        <horizontal style="thin">
          <color theme="5" tint="0.59996337778862885"/>
        </horizontal>
      </border>
    </dxf>
    <dxf>
      <fill>
        <patternFill>
          <bgColor theme="5" tint="0.79998168889431442"/>
        </patternFill>
      </fill>
      <border>
        <top style="thick">
          <color theme="0"/>
        </top>
        <bottom style="thick">
          <color theme="0"/>
        </bottom>
        <horizontal style="thick">
          <color theme="0"/>
        </horizontal>
      </border>
    </dxf>
    <dxf>
      <fill>
        <patternFill patternType="none">
          <fgColor auto="1"/>
          <bgColor auto="1"/>
        </patternFill>
      </fill>
      <border>
        <top style="thick">
          <color theme="0"/>
        </top>
        <bottom style="thick">
          <color theme="0"/>
        </bottom>
        <horizontal style="thick">
          <color theme="0"/>
        </horizontal>
      </border>
    </dxf>
    <dxf>
      <font>
        <color auto="1"/>
      </font>
      <fill>
        <patternFill>
          <fgColor theme="5" tint="0.39994506668294322"/>
          <bgColor theme="5" tint="0.39991454817346722"/>
        </patternFill>
      </fill>
      <border diagonalUp="0" diagonalDown="0">
        <left style="thin">
          <color theme="0"/>
        </left>
        <right style="thin">
          <color theme="0"/>
        </right>
        <top style="thin">
          <color theme="5" tint="0.59996337778862885"/>
        </top>
        <bottom style="thick">
          <color theme="5"/>
        </bottom>
        <vertical style="thick">
          <color theme="0"/>
        </vertical>
        <horizontal style="thin">
          <color theme="5" tint="0.59996337778862885"/>
        </horizontal>
      </border>
    </dxf>
    <dxf>
      <font>
        <color theme="0"/>
      </font>
      <fill>
        <patternFill>
          <fgColor theme="5" tint="-0.24994659260841701"/>
          <bgColor theme="5" tint="-0.24994659260841701"/>
        </patternFill>
      </fill>
      <border>
        <top style="thin">
          <color theme="5" tint="0.59996337778862885"/>
        </top>
        <bottom style="thin">
          <color theme="5" tint="0.59996337778862885"/>
        </bottom>
        <horizontal style="thin">
          <color theme="5" tint="0.59996337778862885"/>
        </horizontal>
      </border>
    </dxf>
    <dxf>
      <font>
        <b/>
        <i val="0"/>
        <color auto="1"/>
      </font>
      <border diagonalUp="0" diagonalDown="0">
        <left style="thin">
          <color theme="0"/>
        </left>
        <right/>
        <top style="thin">
          <color theme="0"/>
        </top>
        <bottom style="thin">
          <color theme="0"/>
        </bottom>
        <vertical style="thick">
          <color theme="0"/>
        </vertical>
        <horizontal style="thick">
          <color theme="0"/>
        </horizontal>
      </border>
    </dxf>
  </dxfs>
  <tableStyles count="2" defaultPivotStyle="PivotStyleLight16">
    <tableStyle name="Tabla de ausencia del empleado" pivot="0" count="9" xr9:uid="{00000000-0011-0000-FFFF-FFFF00000000}">
      <tableStyleElement type="wholeTable" dxfId="1135"/>
      <tableStyleElement type="headerRow" dxfId="1134"/>
      <tableStyleElement type="totalRow" dxfId="1133"/>
      <tableStyleElement type="firstRowStripe" dxfId="1132"/>
      <tableStyleElement type="secondRowStripe" dxfId="1131"/>
      <tableStyleElement type="firstHeaderCell" dxfId="1130"/>
      <tableStyleElement type="lastHeaderCell" dxfId="1129"/>
      <tableStyleElement type="firstTotalCell" dxfId="1128"/>
      <tableStyleElement type="lastTotalCell" dxfId="1127"/>
    </tableStyle>
    <tableStyle name="Tabla 2 de ausencia del empleado" pivot="0" count="13" xr9:uid="{3374F2B5-EC6B-E245-A90B-F84953DFCF99}">
      <tableStyleElement type="wholeTable" dxfId="1126"/>
      <tableStyleElement type="headerRow" dxfId="1125"/>
      <tableStyleElement type="totalRow" dxfId="1124"/>
      <tableStyleElement type="firstColumn" dxfId="1123"/>
      <tableStyleElement type="lastColumn" dxfId="1122"/>
      <tableStyleElement type="firstRowStripe" dxfId="1121"/>
      <tableStyleElement type="secondRowStripe" dxfId="1120"/>
      <tableStyleElement type="firstColumnStripe" dxfId="1119"/>
      <tableStyleElement type="secondColumnStripe" dxfId="1118"/>
      <tableStyleElement type="firstHeaderCell" dxfId="1117"/>
      <tableStyleElement type="lastHeaderCell" dxfId="1116"/>
      <tableStyleElement type="firstTotalCell" dxfId="1115"/>
      <tableStyleElement type="lastTotalCell" dxfId="11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customXml" Target="../customXml/item1.xml" /><Relationship Id="rId3" Type="http://schemas.openxmlformats.org/officeDocument/2006/relationships/worksheet" Target="worksheets/sheet3.xml" /><Relationship Id="rId21" Type="http://schemas.openxmlformats.org/officeDocument/2006/relationships/customXml" Target="../customXml/item4.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calcChain" Target="calcChain.xml" /><Relationship Id="rId2" Type="http://schemas.openxmlformats.org/officeDocument/2006/relationships/worksheet" Target="worksheets/sheet2.xml" /><Relationship Id="rId16" Type="http://schemas.openxmlformats.org/officeDocument/2006/relationships/sharedStrings" Target="sharedStrings.xml" /><Relationship Id="rId20" Type="http://schemas.openxmlformats.org/officeDocument/2006/relationships/customXml" Target="../customXml/item3.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styles" Target="styles.xml" /><Relationship Id="rId10" Type="http://schemas.openxmlformats.org/officeDocument/2006/relationships/worksheet" Target="worksheets/sheet10.xml" /><Relationship Id="rId19" Type="http://schemas.openxmlformats.org/officeDocument/2006/relationships/customXml" Target="../customXml/item2.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theme" Target="theme/theme1.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Nombre_del_empleado" displayName="Nombre_del_empleado" ref="B3:B8" totalsRowShown="0">
  <autoFilter ref="B3:B8" xr:uid="{00000000-0009-0000-0100-00000D000000}"/>
  <tableColumns count="1">
    <tableColumn id="1" xr3:uid="{00000000-0010-0000-0C00-000001000000}" name="Nombre de los integrantes del equipo" dataCellStyle="Empleado"/>
  </tableColumns>
  <tableStyleInfo name="Tabla de ausencia del empleado" showFirstColumn="1" showLastColumn="1" showRowStripes="1" showColumnStripes="0"/>
  <extLst>
    <ext xmlns:x14="http://schemas.microsoft.com/office/spreadsheetml/2009/9/main" uri="{504A1905-F514-4f6f-8877-14C23A59335A}">
      <x14:table altTextSummary="Escriba los nombres de los empleados en esta tabla. Estos nombres se usan como opciones en la columna B de la programación de ausencias de cada me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Enero" displayName="Enero" ref="B8:AH14" totalsRowCount="1" headerRowDxfId="1113" dataDxfId="1112" totalsRowDxfId="1111">
  <autoFilter ref="B8:AH1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autoFilter>
  <tableColumns count="33">
    <tableColumn id="1" xr3:uid="{00000000-0010-0000-0000-000001000000}" name="Nombre de los integrantes" totalsRowLabel="Numero de sprint" dataDxfId="1110" totalsRowDxfId="1109" dataCellStyle="Empleado"/>
    <tableColumn id="2" xr3:uid="{00000000-0010-0000-0000-000002000000}" name="1" dataDxfId="1108" totalsRowDxfId="1107" dataCellStyle="Total"/>
    <tableColumn id="3" xr3:uid="{00000000-0010-0000-0000-000003000000}" name="2" dataDxfId="1106" totalsRowDxfId="1105" dataCellStyle="Total"/>
    <tableColumn id="4" xr3:uid="{00000000-0010-0000-0000-000004000000}" name="3" dataDxfId="1104" totalsRowDxfId="1103" dataCellStyle="Total"/>
    <tableColumn id="5" xr3:uid="{00000000-0010-0000-0000-000005000000}" name="4" dataDxfId="1102" totalsRowDxfId="1101" dataCellStyle="Total"/>
    <tableColumn id="6" xr3:uid="{00000000-0010-0000-0000-000006000000}" name="5" totalsRowDxfId="1100" dataCellStyle="Total"/>
    <tableColumn id="7" xr3:uid="{00000000-0010-0000-0000-000007000000}" name="6" dataDxfId="1099" totalsRowDxfId="1098" dataCellStyle="Total"/>
    <tableColumn id="8" xr3:uid="{00000000-0010-0000-0000-000008000000}" name="7" dataDxfId="1097" totalsRowDxfId="1096" dataCellStyle="Total"/>
    <tableColumn id="9" xr3:uid="{00000000-0010-0000-0000-000009000000}" name="8" dataDxfId="1095" totalsRowDxfId="1094" dataCellStyle="Total"/>
    <tableColumn id="10" xr3:uid="{00000000-0010-0000-0000-00000A000000}" name="9" dataDxfId="1093" totalsRowDxfId="1092" dataCellStyle="Total"/>
    <tableColumn id="11" xr3:uid="{00000000-0010-0000-0000-00000B000000}" name="10" dataDxfId="1091" totalsRowDxfId="1090" dataCellStyle="Total"/>
    <tableColumn id="12" xr3:uid="{00000000-0010-0000-0000-00000C000000}" name="11" dataDxfId="1089" totalsRowDxfId="1088" dataCellStyle="Total"/>
    <tableColumn id="13" xr3:uid="{00000000-0010-0000-0000-00000D000000}" name="12" dataDxfId="1087" totalsRowDxfId="1086" dataCellStyle="Total"/>
    <tableColumn id="14" xr3:uid="{00000000-0010-0000-0000-00000E000000}" name="13" dataDxfId="1085" totalsRowDxfId="1084" dataCellStyle="Total"/>
    <tableColumn id="15" xr3:uid="{00000000-0010-0000-0000-00000F000000}" name="14" dataDxfId="1083" totalsRowDxfId="1082" dataCellStyle="Total"/>
    <tableColumn id="16" xr3:uid="{00000000-0010-0000-0000-000010000000}" name="15" dataDxfId="1081" totalsRowDxfId="1080" dataCellStyle="Total"/>
    <tableColumn id="17" xr3:uid="{00000000-0010-0000-0000-000011000000}" name="16" dataDxfId="1079" totalsRowDxfId="1078" dataCellStyle="Total"/>
    <tableColumn id="18" xr3:uid="{00000000-0010-0000-0000-000012000000}" name="17" dataDxfId="1077" totalsRowDxfId="1076" dataCellStyle="Total"/>
    <tableColumn id="19" xr3:uid="{00000000-0010-0000-0000-000013000000}" name="18" dataDxfId="1075" totalsRowDxfId="1074" dataCellStyle="Total"/>
    <tableColumn id="20" xr3:uid="{00000000-0010-0000-0000-000014000000}" name="19" dataDxfId="1073" totalsRowDxfId="1072" dataCellStyle="Total"/>
    <tableColumn id="21" xr3:uid="{00000000-0010-0000-0000-000015000000}" name="20" dataDxfId="1071" totalsRowDxfId="1070" dataCellStyle="Total"/>
    <tableColumn id="22" xr3:uid="{00000000-0010-0000-0000-000016000000}" name="21" dataDxfId="1069" totalsRowDxfId="1068" dataCellStyle="Total"/>
    <tableColumn id="23" xr3:uid="{00000000-0010-0000-0000-000017000000}" name="22" dataDxfId="1067" totalsRowDxfId="1066" dataCellStyle="Total"/>
    <tableColumn id="24" xr3:uid="{00000000-0010-0000-0000-000018000000}" name="23" dataDxfId="1065" totalsRowDxfId="1064" dataCellStyle="Total"/>
    <tableColumn id="25" xr3:uid="{00000000-0010-0000-0000-000019000000}" name="24" dataDxfId="1063" totalsRowDxfId="1062" dataCellStyle="Total"/>
    <tableColumn id="26" xr3:uid="{00000000-0010-0000-0000-00001A000000}" name="25" dataDxfId="1061" totalsRowDxfId="1060" dataCellStyle="Total"/>
    <tableColumn id="27" xr3:uid="{00000000-0010-0000-0000-00001B000000}" name="26" dataDxfId="1059" totalsRowDxfId="1058" dataCellStyle="Total"/>
    <tableColumn id="28" xr3:uid="{00000000-0010-0000-0000-00001C000000}" name="27" dataDxfId="1057" totalsRowDxfId="1056" dataCellStyle="Total"/>
    <tableColumn id="29" xr3:uid="{00000000-0010-0000-0000-00001D000000}" name="28" dataDxfId="1055" totalsRowDxfId="1054" dataCellStyle="Total"/>
    <tableColumn id="30" xr3:uid="{00000000-0010-0000-0000-00001E000000}" name="29" dataDxfId="1053" totalsRowDxfId="1052" dataCellStyle="Total"/>
    <tableColumn id="31" xr3:uid="{00000000-0010-0000-0000-00001F000000}" name="30" dataDxfId="1051" totalsRowDxfId="1050" dataCellStyle="Total"/>
    <tableColumn id="32" xr3:uid="{00000000-0010-0000-0000-000020000000}" name="31" dataDxfId="1049" totalsRowDxfId="1048" dataCellStyle="Total"/>
    <tableColumn id="33" xr3:uid="{00000000-0010-0000-0000-000021000000}" name="Total de días" totalsRowFunction="sum" dataDxfId="1047" totalsRowDxfId="1046" dataCellStyle="Total">
      <calculatedColumnFormula>COUNTA(Enero!$C9:$AG9)</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brero" displayName="Febrero" ref="B8:AH14" totalsRowCount="1" headerRowDxfId="1045" dataDxfId="1044" totalsRowDxfId="1043">
  <tableColumns count="33">
    <tableColumn id="1" xr3:uid="{00000000-0010-0000-0100-000001000000}" name="Nombre de los integrantes" totalsRowLabel="Numero de sprint" dataDxfId="1042" totalsRowDxfId="1041" dataCellStyle="Empleado"/>
    <tableColumn id="2" xr3:uid="{00000000-0010-0000-0100-000002000000}" name="1" dataDxfId="1040" totalsRowDxfId="1039" dataCellStyle="Total"/>
    <tableColumn id="3" xr3:uid="{00000000-0010-0000-0100-000003000000}" name="2" dataDxfId="1038" totalsRowDxfId="1037" dataCellStyle="Total"/>
    <tableColumn id="4" xr3:uid="{00000000-0010-0000-0100-000004000000}" name="3" dataDxfId="1036" totalsRowDxfId="1035" dataCellStyle="Total"/>
    <tableColumn id="5" xr3:uid="{00000000-0010-0000-0100-000005000000}" name="4" dataDxfId="1034" totalsRowDxfId="1033" dataCellStyle="Total"/>
    <tableColumn id="6" xr3:uid="{00000000-0010-0000-0100-000006000000}" name="5" dataDxfId="1032" totalsRowDxfId="1031" dataCellStyle="Total"/>
    <tableColumn id="7" xr3:uid="{00000000-0010-0000-0100-000007000000}" name="6" dataDxfId="1030" totalsRowDxfId="1029" dataCellStyle="Total"/>
    <tableColumn id="8" xr3:uid="{00000000-0010-0000-0100-000008000000}" name="7" dataDxfId="1028" totalsRowDxfId="1027" dataCellStyle="Total"/>
    <tableColumn id="9" xr3:uid="{00000000-0010-0000-0100-000009000000}" name="8" dataDxfId="1026" totalsRowDxfId="1025" dataCellStyle="Total"/>
    <tableColumn id="10" xr3:uid="{00000000-0010-0000-0100-00000A000000}" name="9" dataDxfId="1024" totalsRowDxfId="1023" dataCellStyle="Total"/>
    <tableColumn id="11" xr3:uid="{00000000-0010-0000-0100-00000B000000}" name="10" dataDxfId="1022" totalsRowDxfId="1021" dataCellStyle="Total"/>
    <tableColumn id="12" xr3:uid="{00000000-0010-0000-0100-00000C000000}" name="11" dataDxfId="1020" totalsRowDxfId="1019" dataCellStyle="Total"/>
    <tableColumn id="13" xr3:uid="{00000000-0010-0000-0100-00000D000000}" name="12" dataDxfId="1018" totalsRowDxfId="1017" dataCellStyle="Total"/>
    <tableColumn id="14" xr3:uid="{00000000-0010-0000-0100-00000E000000}" name="13" dataDxfId="1016" totalsRowDxfId="1015" dataCellStyle="Total"/>
    <tableColumn id="15" xr3:uid="{00000000-0010-0000-0100-00000F000000}" name="14" dataDxfId="1014" totalsRowDxfId="1013" dataCellStyle="Total"/>
    <tableColumn id="16" xr3:uid="{00000000-0010-0000-0100-000010000000}" name="15" dataDxfId="1012" totalsRowDxfId="1011" dataCellStyle="Total"/>
    <tableColumn id="17" xr3:uid="{00000000-0010-0000-0100-000011000000}" name="16" dataDxfId="1010" totalsRowDxfId="1009" dataCellStyle="Total"/>
    <tableColumn id="18" xr3:uid="{00000000-0010-0000-0100-000012000000}" name="17" dataDxfId="1008" totalsRowDxfId="1007" dataCellStyle="Total"/>
    <tableColumn id="19" xr3:uid="{00000000-0010-0000-0100-000013000000}" name="18" dataDxfId="1006" totalsRowDxfId="1005" dataCellStyle="Total"/>
    <tableColumn id="20" xr3:uid="{00000000-0010-0000-0100-000014000000}" name="19" dataDxfId="1004" totalsRowDxfId="1003" dataCellStyle="Total"/>
    <tableColumn id="21" xr3:uid="{00000000-0010-0000-0100-000015000000}" name="20" dataDxfId="1002" totalsRowDxfId="1001" dataCellStyle="Total"/>
    <tableColumn id="22" xr3:uid="{00000000-0010-0000-0100-000016000000}" name="21" dataDxfId="1000" totalsRowDxfId="999" dataCellStyle="Total"/>
    <tableColumn id="23" xr3:uid="{00000000-0010-0000-0100-000017000000}" name="22" dataDxfId="998" totalsRowDxfId="997" dataCellStyle="Total"/>
    <tableColumn id="24" xr3:uid="{00000000-0010-0000-0100-000018000000}" name="23" dataDxfId="996" totalsRowDxfId="995" dataCellStyle="Total"/>
    <tableColumn id="25" xr3:uid="{00000000-0010-0000-0100-000019000000}" name="24" dataDxfId="994" totalsRowDxfId="993" dataCellStyle="Total"/>
    <tableColumn id="26" xr3:uid="{00000000-0010-0000-0100-00001A000000}" name="25" dataDxfId="992" totalsRowDxfId="991" dataCellStyle="Total"/>
    <tableColumn id="27" xr3:uid="{00000000-0010-0000-0100-00001B000000}" name="26" dataDxfId="990" totalsRowDxfId="989" dataCellStyle="Total"/>
    <tableColumn id="28" xr3:uid="{00000000-0010-0000-0100-00001C000000}" name="27" dataDxfId="988" totalsRowDxfId="987" dataCellStyle="Total"/>
    <tableColumn id="29" xr3:uid="{00000000-0010-0000-0100-00001D000000}" name="28" dataDxfId="986" totalsRowDxfId="985" dataCellStyle="Total"/>
    <tableColumn id="30" xr3:uid="{00000000-0010-0000-0100-00001E000000}" name="29" dataDxfId="984" totalsRowDxfId="983" dataCellStyle="Total"/>
    <tableColumn id="31" xr3:uid="{00000000-0010-0000-0100-00001F000000}" name=" " dataDxfId="982" totalsRowDxfId="981" dataCellStyle="Total"/>
    <tableColumn id="32" xr3:uid="{00000000-0010-0000-0100-000020000000}" name="  " dataDxfId="980" totalsRowDxfId="979" dataCellStyle="Total"/>
    <tableColumn id="33" xr3:uid="{00000000-0010-0000-0100-000021000000}" name="Total de días" totalsRowFunction="sum" dataDxfId="978" totalsRowDxfId="977" dataCellStyle="Total">
      <calculatedColumnFormula>COUNTA(Febrero[[#This Row],[1]:[29]])</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Marzo" displayName="Marzo" ref="B8:AH14" totalsRowCount="1" headerRowDxfId="976" dataDxfId="975" totalsRowDxfId="974">
  <tableColumns count="33">
    <tableColumn id="1" xr3:uid="{00000000-0010-0000-0200-000001000000}" name="Nombre de los integrantes" totalsRowLabel="Numero de sprint" dataDxfId="973" totalsRowDxfId="972" dataCellStyle="Empleado"/>
    <tableColumn id="2" xr3:uid="{00000000-0010-0000-0200-000002000000}" name="1" dataDxfId="971" totalsRowDxfId="970"/>
    <tableColumn id="3" xr3:uid="{00000000-0010-0000-0200-000003000000}" name="2" dataDxfId="969" totalsRowDxfId="968"/>
    <tableColumn id="4" xr3:uid="{00000000-0010-0000-0200-000004000000}" name="3" dataDxfId="967" totalsRowDxfId="966"/>
    <tableColumn id="5" xr3:uid="{00000000-0010-0000-0200-000005000000}" name="4" dataDxfId="965" totalsRowDxfId="964"/>
    <tableColumn id="6" xr3:uid="{00000000-0010-0000-0200-000006000000}" name="5" dataDxfId="963" totalsRowDxfId="962"/>
    <tableColumn id="7" xr3:uid="{00000000-0010-0000-0200-000007000000}" name="6" dataDxfId="961" totalsRowDxfId="960"/>
    <tableColumn id="8" xr3:uid="{00000000-0010-0000-0200-000008000000}" name="7" dataDxfId="959" totalsRowDxfId="958"/>
    <tableColumn id="9" xr3:uid="{00000000-0010-0000-0200-000009000000}" name="8" dataDxfId="957" totalsRowDxfId="956"/>
    <tableColumn id="10" xr3:uid="{00000000-0010-0000-0200-00000A000000}" name="9" dataDxfId="955" totalsRowDxfId="954"/>
    <tableColumn id="11" xr3:uid="{00000000-0010-0000-0200-00000B000000}" name="10" dataDxfId="953" totalsRowDxfId="952"/>
    <tableColumn id="12" xr3:uid="{00000000-0010-0000-0200-00000C000000}" name="11" dataDxfId="951" totalsRowDxfId="950"/>
    <tableColumn id="13" xr3:uid="{00000000-0010-0000-0200-00000D000000}" name="12" dataDxfId="949" totalsRowDxfId="948"/>
    <tableColumn id="14" xr3:uid="{00000000-0010-0000-0200-00000E000000}" name="13" dataDxfId="947" totalsRowDxfId="946"/>
    <tableColumn id="15" xr3:uid="{00000000-0010-0000-0200-00000F000000}" name="14" dataDxfId="945" totalsRowDxfId="944"/>
    <tableColumn id="16" xr3:uid="{00000000-0010-0000-0200-000010000000}" name="15" dataDxfId="943" totalsRowDxfId="942"/>
    <tableColumn id="17" xr3:uid="{00000000-0010-0000-0200-000011000000}" name="16" dataDxfId="941" totalsRowDxfId="940"/>
    <tableColumn id="18" xr3:uid="{00000000-0010-0000-0200-000012000000}" name="17" dataDxfId="939" totalsRowDxfId="938"/>
    <tableColumn id="19" xr3:uid="{00000000-0010-0000-0200-000013000000}" name="18" dataDxfId="937" totalsRowDxfId="936"/>
    <tableColumn id="20" xr3:uid="{00000000-0010-0000-0200-000014000000}" name="19" dataDxfId="935" totalsRowDxfId="934"/>
    <tableColumn id="21" xr3:uid="{00000000-0010-0000-0200-000015000000}" name="20" dataDxfId="933" totalsRowDxfId="932"/>
    <tableColumn id="22" xr3:uid="{00000000-0010-0000-0200-000016000000}" name="21" dataDxfId="931" totalsRowDxfId="930"/>
    <tableColumn id="23" xr3:uid="{00000000-0010-0000-0200-000017000000}" name="22" dataDxfId="929" totalsRowDxfId="928"/>
    <tableColumn id="24" xr3:uid="{00000000-0010-0000-0200-000018000000}" name="23" dataDxfId="927" totalsRowDxfId="926"/>
    <tableColumn id="25" xr3:uid="{00000000-0010-0000-0200-000019000000}" name="24" dataDxfId="925" totalsRowDxfId="924"/>
    <tableColumn id="26" xr3:uid="{00000000-0010-0000-0200-00001A000000}" name="25" dataDxfId="923" totalsRowDxfId="922"/>
    <tableColumn id="27" xr3:uid="{00000000-0010-0000-0200-00001B000000}" name="26" dataDxfId="921" totalsRowDxfId="920"/>
    <tableColumn id="28" xr3:uid="{00000000-0010-0000-0200-00001C000000}" name="27" dataDxfId="919" totalsRowDxfId="918"/>
    <tableColumn id="29" xr3:uid="{00000000-0010-0000-0200-00001D000000}" name="28" dataDxfId="917" totalsRowDxfId="916"/>
    <tableColumn id="30" xr3:uid="{00000000-0010-0000-0200-00001E000000}" name="29" dataDxfId="915" totalsRowDxfId="914"/>
    <tableColumn id="31" xr3:uid="{00000000-0010-0000-0200-00001F000000}" name="30" dataDxfId="913" totalsRowDxfId="912"/>
    <tableColumn id="32" xr3:uid="{00000000-0010-0000-0200-000020000000}" name="31" dataDxfId="911" totalsRowDxfId="910" dataCellStyle="Total"/>
    <tableColumn id="33" xr3:uid="{00000000-0010-0000-0200-000021000000}" name="Total de días" totalsRowFunction="sum" dataDxfId="909" totalsRowDxfId="908" dataCellStyle="Total">
      <calculatedColumnFormula>COUNTA(Marzo[[#This Row],[1]:[31]])</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214BC2-F1A9-794B-922E-B532EC6BBFDF}" name="March5" displayName="March5" ref="B8:AH14" totalsRowCount="1" headerRowDxfId="907" dataDxfId="906" totalsRowDxfId="905">
  <tableColumns count="33">
    <tableColumn id="1" xr3:uid="{5251F992-E710-C643-B160-C37BB2131D31}" name="Nombre de los integrantes" totalsRowLabel="Numero de sprint" dataDxfId="904" totalsRowDxfId="903" dataCellStyle="Empleado"/>
    <tableColumn id="2" xr3:uid="{9AEC3AA3-9F0E-4B4E-A8ED-026BAE9C428F}" name="1" dataDxfId="902" totalsRowDxfId="901"/>
    <tableColumn id="3" xr3:uid="{55750F7A-05DD-CB41-95C5-BE1F874725AE}" name="2" dataDxfId="900" totalsRowDxfId="899"/>
    <tableColumn id="4" xr3:uid="{259912E4-C37B-5145-B99B-93F989E18A49}" name="3" dataDxfId="898" totalsRowDxfId="897"/>
    <tableColumn id="5" xr3:uid="{44743504-4BFF-3B46-87DE-A0AE5C8C9FC0}" name="4" dataDxfId="896" totalsRowDxfId="895"/>
    <tableColumn id="6" xr3:uid="{471BE969-F222-D642-8D1A-B386CCC29AB2}" name="5" dataDxfId="894" totalsRowDxfId="893"/>
    <tableColumn id="7" xr3:uid="{35FEC3F2-5280-D342-A070-AB9A3C3BCF0A}" name="6" dataDxfId="892" totalsRowDxfId="891"/>
    <tableColumn id="8" xr3:uid="{D4047C63-7046-5242-9483-0BC31BD18200}" name="7" dataDxfId="890" totalsRowDxfId="889"/>
    <tableColumn id="9" xr3:uid="{79A2B7D0-444A-5942-9296-2BD32E471C66}" name="8" dataDxfId="888" totalsRowDxfId="887"/>
    <tableColumn id="10" xr3:uid="{B46D113E-7D39-5A43-BAA4-11739C4AD0C2}" name="9" dataDxfId="886" totalsRowDxfId="885"/>
    <tableColumn id="11" xr3:uid="{977EC8E9-AEB6-3E40-BE79-A406D4D3444D}" name="10" dataDxfId="884" totalsRowDxfId="883"/>
    <tableColumn id="12" xr3:uid="{42883C66-F682-394E-8D72-6C0286CB27EA}" name="11" dataDxfId="882" totalsRowDxfId="881"/>
    <tableColumn id="13" xr3:uid="{9A10401F-4CF0-8641-BCEB-2237315C8881}" name="12" dataDxfId="880" totalsRowDxfId="879"/>
    <tableColumn id="14" xr3:uid="{9C8C4D04-BE8B-FB44-9666-B515D905B2D6}" name="13" dataDxfId="878" totalsRowDxfId="877"/>
    <tableColumn id="15" xr3:uid="{E996717D-17EC-B048-A561-2AD987D342D0}" name="14" dataDxfId="876" totalsRowDxfId="875"/>
    <tableColumn id="16" xr3:uid="{3BFEBF2B-F60F-A142-86F2-75C9DC96AFDB}" name="15" dataDxfId="874" totalsRowDxfId="873"/>
    <tableColumn id="17" xr3:uid="{0C97EF54-1361-BE43-8F7F-1BCE23E1AB5A}" name="16" dataDxfId="872" totalsRowDxfId="871"/>
    <tableColumn id="18" xr3:uid="{257791F4-E1CB-0642-BD3B-FB1B81C57DF1}" name="17" dataDxfId="870" totalsRowDxfId="869"/>
    <tableColumn id="19" xr3:uid="{BB7AB6EF-7B76-5946-B53A-22DB3EB1F3FC}" name="18" dataDxfId="868" totalsRowDxfId="867"/>
    <tableColumn id="20" xr3:uid="{85AEA6C3-1E60-234F-8E68-DD23536D850B}" name="19" dataDxfId="866" totalsRowDxfId="865"/>
    <tableColumn id="21" xr3:uid="{A73B9507-91D4-9B42-8C0E-1E0FB67905F8}" name="20" dataDxfId="864" totalsRowDxfId="863"/>
    <tableColumn id="22" xr3:uid="{5C7BDCBF-0A5A-4549-B80B-C8343893EAF7}" name="21" dataDxfId="862" totalsRowDxfId="861"/>
    <tableColumn id="23" xr3:uid="{EC439ECF-E0C6-5D41-9DA2-07E3E82FF691}" name="22" dataDxfId="860" totalsRowDxfId="859"/>
    <tableColumn id="24" xr3:uid="{97854A72-AEC9-604B-B1D4-06EC15436469}" name="23" dataDxfId="858" totalsRowDxfId="857"/>
    <tableColumn id="25" xr3:uid="{F701FD79-E584-DF4B-83E9-A152532FDD15}" name="24" dataDxfId="856" totalsRowDxfId="855"/>
    <tableColumn id="26" xr3:uid="{C662F6C1-F102-5942-8719-E32AD8792020}" name="25" dataDxfId="854" totalsRowDxfId="853"/>
    <tableColumn id="27" xr3:uid="{50B9E2E5-9F39-0F45-AE9B-4555A77D295D}" name="26" dataDxfId="852" totalsRowDxfId="851"/>
    <tableColumn id="28" xr3:uid="{3E4AF3CF-CB70-0842-B373-83CF59CBDA1D}" name="27" dataDxfId="850" totalsRowDxfId="849"/>
    <tableColumn id="29" xr3:uid="{C5FCD875-31A1-4B41-AAF6-09E535D80C81}" name="28" dataDxfId="848" totalsRowDxfId="847"/>
    <tableColumn id="30" xr3:uid="{84F06E67-080B-CA42-8EEC-59690B041A03}" name="29" dataDxfId="846" totalsRowDxfId="845"/>
    <tableColumn id="31" xr3:uid="{284765D5-58F9-F440-84EA-ACE449176ACA}" name="30" dataDxfId="844" totalsRowDxfId="843"/>
    <tableColumn id="32" xr3:uid="{9C77C5AD-4E19-B843-B9BE-2909F268D667}" name=" " dataDxfId="842" totalsRowDxfId="841" dataCellStyle="Total"/>
    <tableColumn id="33" xr3:uid="{0DA7656D-8525-2046-AEDA-1F40E411BD0D}" name="Total de días" totalsRowFunction="sum" dataDxfId="840" totalsRowDxfId="839" dataCellStyle="Total">
      <calculatedColumnFormula>COUNTA(March5[[#This Row],[1]:[ ]])</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E83FD69-EC79-6B43-9728-DBC90C3FDC77}" name="March58" displayName="March58" ref="B8:AH14" totalsRowCount="1" headerRowDxfId="838" dataDxfId="837" totalsRowDxfId="836">
  <tableColumns count="33">
    <tableColumn id="1" xr3:uid="{5910D0B6-76A8-1646-97A8-4AE2D1756125}" name="Nombre de los integrantes" totalsRowLabel="Numero de sprint" dataDxfId="835" totalsRowDxfId="834" dataCellStyle="Empleado"/>
    <tableColumn id="2" xr3:uid="{69C27970-12EA-0E42-AF5F-351BA83FD215}" name="1" dataDxfId="833" totalsRowDxfId="832"/>
    <tableColumn id="3" xr3:uid="{2DB67051-6E13-964F-86B0-B00AA9A5BFAF}" name="2" dataDxfId="831" totalsRowDxfId="830"/>
    <tableColumn id="4" xr3:uid="{CF201FDD-65B9-BE4B-BE51-45EFCA258036}" name="3" dataDxfId="829" totalsRowDxfId="828"/>
    <tableColumn id="5" xr3:uid="{E03823B4-0CCA-7D47-BCFD-4BB07A97D88C}" name="4" dataDxfId="827" totalsRowDxfId="826"/>
    <tableColumn id="6" xr3:uid="{5F39FD90-2520-0847-B186-6CA5B07A072F}" name="5" dataDxfId="825" totalsRowDxfId="824"/>
    <tableColumn id="7" xr3:uid="{D7992C25-6255-D54A-8B77-C3032B2914E8}" name="6" dataDxfId="823" totalsRowDxfId="822"/>
    <tableColumn id="8" xr3:uid="{161AB8A2-4451-FA40-9408-833AFFC6D7CD}" name="7" dataDxfId="821" totalsRowDxfId="820"/>
    <tableColumn id="9" xr3:uid="{82432B13-145C-AC4E-A84F-0C211DED3AEE}" name="8" dataDxfId="819" totalsRowDxfId="818"/>
    <tableColumn id="10" xr3:uid="{994E3A00-A93E-8A4C-A93F-5DF73DB59AA5}" name="9" dataDxfId="817" totalsRowDxfId="816"/>
    <tableColumn id="11" xr3:uid="{ADA642AC-6B5D-4749-B631-64A63466A02A}" name="10" dataDxfId="815" totalsRowDxfId="814"/>
    <tableColumn id="12" xr3:uid="{E1D9D052-9150-4B4A-873C-04B0C9F0EAA0}" name="11" dataDxfId="813" totalsRowDxfId="812"/>
    <tableColumn id="13" xr3:uid="{7804DD46-EEB3-7047-A68F-A81094B2F0E0}" name="12" dataDxfId="811" totalsRowDxfId="810"/>
    <tableColumn id="14" xr3:uid="{39F98B96-5BF4-7747-A3D2-F58049C2C331}" name="13" dataDxfId="809" totalsRowDxfId="808"/>
    <tableColumn id="15" xr3:uid="{8908FF7E-1791-CA41-8CF3-4A9F971974C3}" name="14" dataDxfId="807" totalsRowDxfId="806"/>
    <tableColumn id="16" xr3:uid="{773FDBBE-AB42-A546-8329-8BDAEF4D06C4}" name="15" dataDxfId="805" totalsRowDxfId="804"/>
    <tableColumn id="17" xr3:uid="{01EE92EC-B490-AF40-BDB2-290F1B1C3C58}" name="16" dataDxfId="803" totalsRowDxfId="802"/>
    <tableColumn id="18" xr3:uid="{DF22A54C-2BE2-1340-BC66-FDDF323ABBE0}" name="17" dataDxfId="801" totalsRowDxfId="800"/>
    <tableColumn id="19" xr3:uid="{BB1CDCA3-E15B-8D4E-ABE5-0D5BE02A950E}" name="18" dataDxfId="799" totalsRowDxfId="798"/>
    <tableColumn id="20" xr3:uid="{4D5E657B-D9D2-8C4A-A4EB-E29B4B8BCF70}" name="19" dataDxfId="797" totalsRowDxfId="796"/>
    <tableColumn id="21" xr3:uid="{B5D1019E-86BD-A146-A976-653D87FAC02B}" name="20" dataDxfId="795" totalsRowDxfId="794"/>
    <tableColumn id="22" xr3:uid="{D1F7F5A1-B363-AC44-9332-4BA33D6CCEA8}" name="21" dataDxfId="793" totalsRowDxfId="792"/>
    <tableColumn id="23" xr3:uid="{0EEDA366-AE45-0947-A354-D1B1BEB67F28}" name="22" dataDxfId="791" totalsRowDxfId="790"/>
    <tableColumn id="24" xr3:uid="{8DB56569-FE6B-4249-B364-D76AC1D9BE79}" name="23" dataDxfId="789" totalsRowDxfId="788"/>
    <tableColumn id="25" xr3:uid="{5BECBC0C-925A-8245-AD6D-847781A68957}" name="24" dataDxfId="787" totalsRowDxfId="786"/>
    <tableColumn id="26" xr3:uid="{7D745BDB-6C53-8B4B-BA72-5FBDCB5D9CCC}" name="25" dataDxfId="785" totalsRowDxfId="784"/>
    <tableColumn id="27" xr3:uid="{FA6FFB4C-5E6D-DA4E-8F87-EEC900B26695}" name="26" dataDxfId="783" totalsRowDxfId="782"/>
    <tableColumn id="28" xr3:uid="{A50BDA94-D72B-C043-A8B2-E1E178EA827F}" name="27" dataDxfId="781" totalsRowDxfId="780"/>
    <tableColumn id="29" xr3:uid="{D68B12D0-F485-FF42-B2E6-30EC0E2C418D}" name="28" dataDxfId="779" totalsRowDxfId="778"/>
    <tableColumn id="30" xr3:uid="{695C2584-A6A5-D742-A768-02D19E90DEBC}" name="29" dataDxfId="777" totalsRowDxfId="776"/>
    <tableColumn id="31" xr3:uid="{0B002160-8CE9-4B4E-A7A4-CFE8C54F8781}" name="30" dataDxfId="775" totalsRowDxfId="774"/>
    <tableColumn id="32" xr3:uid="{9A241B27-F77F-9E49-9678-7978D0423F17}" name="31" dataDxfId="773" totalsRowDxfId="772" dataCellStyle="Total"/>
    <tableColumn id="33" xr3:uid="{C85EB010-29D3-FD4A-9882-B705BDC3D2EF}" name="Total de días" totalsRowFunction="sum" dataDxfId="771" totalsRowDxfId="770" dataCellStyle="Total">
      <calculatedColumnFormula>COUNTA(March58[[#This Row],[1]:[31]])</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Junio" displayName="Junio" ref="B8:AH14" totalsRowCount="1" headerRowDxfId="769" dataDxfId="768" totalsRowDxfId="767">
  <tableColumns count="33">
    <tableColumn id="1" xr3:uid="{00000000-0010-0000-0500-000001000000}" name="Nombre de los integrantes" totalsRowLabel="Numero de sprint" dataDxfId="766" totalsRowDxfId="765" dataCellStyle="Empleado"/>
    <tableColumn id="2" xr3:uid="{00000000-0010-0000-0500-000002000000}" name="1" dataDxfId="764" totalsRowDxfId="763"/>
    <tableColumn id="3" xr3:uid="{00000000-0010-0000-0500-000003000000}" name="2" dataDxfId="762" totalsRowDxfId="761"/>
    <tableColumn id="4" xr3:uid="{00000000-0010-0000-0500-000004000000}" name="3" dataDxfId="760" totalsRowDxfId="759"/>
    <tableColumn id="5" xr3:uid="{00000000-0010-0000-0500-000005000000}" name="4" dataDxfId="758" totalsRowDxfId="757"/>
    <tableColumn id="6" xr3:uid="{00000000-0010-0000-0500-000006000000}" name="5" dataDxfId="756" totalsRowDxfId="755"/>
    <tableColumn id="7" xr3:uid="{00000000-0010-0000-0500-000007000000}" name="6" dataDxfId="754" totalsRowDxfId="753"/>
    <tableColumn id="8" xr3:uid="{00000000-0010-0000-0500-000008000000}" name="7" dataDxfId="752" totalsRowDxfId="751"/>
    <tableColumn id="9" xr3:uid="{00000000-0010-0000-0500-000009000000}" name="8" dataDxfId="750" totalsRowDxfId="749"/>
    <tableColumn id="10" xr3:uid="{00000000-0010-0000-0500-00000A000000}" name="9" dataDxfId="748" totalsRowDxfId="747"/>
    <tableColumn id="11" xr3:uid="{00000000-0010-0000-0500-00000B000000}" name="10" dataDxfId="746" totalsRowDxfId="745"/>
    <tableColumn id="12" xr3:uid="{00000000-0010-0000-0500-00000C000000}" name="11" dataDxfId="744" totalsRowDxfId="743"/>
    <tableColumn id="13" xr3:uid="{00000000-0010-0000-0500-00000D000000}" name="12" dataDxfId="742" totalsRowDxfId="741"/>
    <tableColumn id="14" xr3:uid="{00000000-0010-0000-0500-00000E000000}" name="13" dataDxfId="740" totalsRowDxfId="739"/>
    <tableColumn id="15" xr3:uid="{00000000-0010-0000-0500-00000F000000}" name="14" dataDxfId="738" totalsRowDxfId="737"/>
    <tableColumn id="16" xr3:uid="{00000000-0010-0000-0500-000010000000}" name="15" dataDxfId="736" totalsRowDxfId="735"/>
    <tableColumn id="17" xr3:uid="{00000000-0010-0000-0500-000011000000}" name="16" dataDxfId="734" totalsRowDxfId="733"/>
    <tableColumn id="18" xr3:uid="{00000000-0010-0000-0500-000012000000}" name="17" dataDxfId="732" totalsRowDxfId="731"/>
    <tableColumn id="19" xr3:uid="{00000000-0010-0000-0500-000013000000}" name="18" dataDxfId="730" totalsRowDxfId="729"/>
    <tableColumn id="20" xr3:uid="{00000000-0010-0000-0500-000014000000}" name="19" dataDxfId="728" totalsRowDxfId="727"/>
    <tableColumn id="21" xr3:uid="{00000000-0010-0000-0500-000015000000}" name="20" dataDxfId="726" totalsRowDxfId="725"/>
    <tableColumn id="22" xr3:uid="{00000000-0010-0000-0500-000016000000}" name="21" dataDxfId="724" totalsRowDxfId="723"/>
    <tableColumn id="23" xr3:uid="{00000000-0010-0000-0500-000017000000}" name="22" dataDxfId="722" totalsRowDxfId="721"/>
    <tableColumn id="24" xr3:uid="{00000000-0010-0000-0500-000018000000}" name="23" dataDxfId="720" totalsRowDxfId="719"/>
    <tableColumn id="25" xr3:uid="{00000000-0010-0000-0500-000019000000}" name="24" dataDxfId="718" totalsRowDxfId="717"/>
    <tableColumn id="26" xr3:uid="{00000000-0010-0000-0500-00001A000000}" name="25" dataDxfId="716" totalsRowDxfId="715"/>
    <tableColumn id="27" xr3:uid="{00000000-0010-0000-0500-00001B000000}" name="26" dataDxfId="714" totalsRowDxfId="713"/>
    <tableColumn id="28" xr3:uid="{00000000-0010-0000-0500-00001C000000}" name="27" dataDxfId="712" totalsRowDxfId="711"/>
    <tableColumn id="29" xr3:uid="{00000000-0010-0000-0500-00001D000000}" name="28" dataDxfId="710" totalsRowDxfId="709"/>
    <tableColumn id="30" xr3:uid="{00000000-0010-0000-0500-00001E000000}" name="29" dataDxfId="708" totalsRowDxfId="707"/>
    <tableColumn id="31" xr3:uid="{00000000-0010-0000-0500-00001F000000}" name="30" dataDxfId="706" totalsRowDxfId="705"/>
    <tableColumn id="32" xr3:uid="{00000000-0010-0000-0500-000020000000}" name=" " dataDxfId="704" totalsRowDxfId="703" dataCellStyle="Total"/>
    <tableColumn id="33" xr3:uid="{00000000-0010-0000-0500-000021000000}" name="Total de días" totalsRowFunction="sum" dataDxfId="702" totalsRowDxfId="701" dataCellStyle="Total">
      <calculatedColumnFormula>COUNTA(Junio[[#This Row],[1]:[ ]])</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Julio" displayName="Julio" ref="B8:AH14" totalsRowCount="1" headerRowDxfId="700" dataDxfId="699" totalsRowDxfId="698">
  <tableColumns count="33">
    <tableColumn id="1" xr3:uid="{00000000-0010-0000-0600-000001000000}" name="Nombre de los integrantes" totalsRowLabel="Numero de sprint" dataDxfId="697" totalsRowDxfId="696" dataCellStyle="Empleado"/>
    <tableColumn id="2" xr3:uid="{00000000-0010-0000-0600-000002000000}" name="1" dataDxfId="695" totalsRowDxfId="694"/>
    <tableColumn id="3" xr3:uid="{00000000-0010-0000-0600-000003000000}" name="2" dataDxfId="693" totalsRowDxfId="692"/>
    <tableColumn id="4" xr3:uid="{00000000-0010-0000-0600-000004000000}" name="3" dataDxfId="691" totalsRowDxfId="690"/>
    <tableColumn id="5" xr3:uid="{00000000-0010-0000-0600-000005000000}" name="4" dataDxfId="689" totalsRowDxfId="688"/>
    <tableColumn id="6" xr3:uid="{00000000-0010-0000-0600-000006000000}" name="5" dataDxfId="687" totalsRowDxfId="686"/>
    <tableColumn id="7" xr3:uid="{00000000-0010-0000-0600-000007000000}" name="6" dataDxfId="685" totalsRowDxfId="684"/>
    <tableColumn id="8" xr3:uid="{00000000-0010-0000-0600-000008000000}" name="7" dataDxfId="683" totalsRowDxfId="682"/>
    <tableColumn id="9" xr3:uid="{00000000-0010-0000-0600-000009000000}" name="8" dataDxfId="681" totalsRowDxfId="680"/>
    <tableColumn id="10" xr3:uid="{00000000-0010-0000-0600-00000A000000}" name="9" dataDxfId="679" totalsRowDxfId="678"/>
    <tableColumn id="11" xr3:uid="{00000000-0010-0000-0600-00000B000000}" name="10" dataDxfId="677" totalsRowDxfId="676"/>
    <tableColumn id="12" xr3:uid="{00000000-0010-0000-0600-00000C000000}" name="11" dataDxfId="675" totalsRowDxfId="674"/>
    <tableColumn id="13" xr3:uid="{00000000-0010-0000-0600-00000D000000}" name="12" dataDxfId="673" totalsRowDxfId="672"/>
    <tableColumn id="14" xr3:uid="{00000000-0010-0000-0600-00000E000000}" name="13" dataDxfId="671" totalsRowDxfId="670"/>
    <tableColumn id="15" xr3:uid="{00000000-0010-0000-0600-00000F000000}" name="14" dataDxfId="669" totalsRowDxfId="668"/>
    <tableColumn id="16" xr3:uid="{00000000-0010-0000-0600-000010000000}" name="15" dataDxfId="667" totalsRowDxfId="666"/>
    <tableColumn id="17" xr3:uid="{00000000-0010-0000-0600-000011000000}" name="16" dataDxfId="665" totalsRowDxfId="664"/>
    <tableColumn id="18" xr3:uid="{00000000-0010-0000-0600-000012000000}" name="17" dataDxfId="663" totalsRowDxfId="662"/>
    <tableColumn id="19" xr3:uid="{00000000-0010-0000-0600-000013000000}" name="18" dataDxfId="661" totalsRowDxfId="660"/>
    <tableColumn id="20" xr3:uid="{00000000-0010-0000-0600-000014000000}" name="19" dataDxfId="659" totalsRowDxfId="658"/>
    <tableColumn id="21" xr3:uid="{00000000-0010-0000-0600-000015000000}" name="20" dataDxfId="657" totalsRowDxfId="656"/>
    <tableColumn id="22" xr3:uid="{00000000-0010-0000-0600-000016000000}" name="21" dataDxfId="655" totalsRowDxfId="654"/>
    <tableColumn id="23" xr3:uid="{00000000-0010-0000-0600-000017000000}" name="22" dataDxfId="653" totalsRowDxfId="652"/>
    <tableColumn id="24" xr3:uid="{00000000-0010-0000-0600-000018000000}" name="23" dataDxfId="651" totalsRowDxfId="650"/>
    <tableColumn id="25" xr3:uid="{00000000-0010-0000-0600-000019000000}" name="24" dataDxfId="649" totalsRowDxfId="648"/>
    <tableColumn id="26" xr3:uid="{00000000-0010-0000-0600-00001A000000}" name="25" dataDxfId="647" totalsRowDxfId="646"/>
    <tableColumn id="27" xr3:uid="{00000000-0010-0000-0600-00001B000000}" name="26" dataDxfId="645" totalsRowDxfId="644"/>
    <tableColumn id="28" xr3:uid="{00000000-0010-0000-0600-00001C000000}" name="27" dataDxfId="643" totalsRowDxfId="642"/>
    <tableColumn id="29" xr3:uid="{00000000-0010-0000-0600-00001D000000}" name="28" dataDxfId="641" totalsRowDxfId="640"/>
    <tableColumn id="30" xr3:uid="{00000000-0010-0000-0600-00001E000000}" name="29" dataDxfId="639" totalsRowDxfId="638"/>
    <tableColumn id="31" xr3:uid="{00000000-0010-0000-0600-00001F000000}" name="30" dataDxfId="637" totalsRowDxfId="636"/>
    <tableColumn id="32" xr3:uid="{00000000-0010-0000-0600-000020000000}" name="31" dataDxfId="635" totalsRowDxfId="634" dataCellStyle="Total"/>
    <tableColumn id="33" xr3:uid="{00000000-0010-0000-0600-000021000000}" name="Total de días" totalsRowFunction="sum" dataDxfId="633" totalsRowDxfId="632" dataCellStyle="Total">
      <calculatedColumnFormula>COUNTA(Julio[[#This Row],[1]:[31]])</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7000000}" name="Agosto" displayName="Agosto" ref="B8:AH14" totalsRowCount="1" headerRowDxfId="631" dataDxfId="630" totalsRowDxfId="629">
  <tableColumns count="33">
    <tableColumn id="1" xr3:uid="{00000000-0010-0000-0700-000001000000}" name="Nombre de los integrantes" totalsRowLabel="Numero de sprint" dataDxfId="628" totalsRowDxfId="627" dataCellStyle="Empleado"/>
    <tableColumn id="2" xr3:uid="{00000000-0010-0000-0700-000002000000}" name="1" dataDxfId="626" totalsRowDxfId="625"/>
    <tableColumn id="3" xr3:uid="{00000000-0010-0000-0700-000003000000}" name="2" dataDxfId="624" totalsRowDxfId="623"/>
    <tableColumn id="4" xr3:uid="{00000000-0010-0000-0700-000004000000}" name="3" dataDxfId="622" totalsRowDxfId="621"/>
    <tableColumn id="5" xr3:uid="{00000000-0010-0000-0700-000005000000}" name="4" dataDxfId="620" totalsRowDxfId="619"/>
    <tableColumn id="6" xr3:uid="{00000000-0010-0000-0700-000006000000}" name="5" dataDxfId="618" totalsRowDxfId="617"/>
    <tableColumn id="7" xr3:uid="{00000000-0010-0000-0700-000007000000}" name="6" dataDxfId="616" totalsRowDxfId="615"/>
    <tableColumn id="8" xr3:uid="{00000000-0010-0000-0700-000008000000}" name="7" dataDxfId="614" totalsRowDxfId="613"/>
    <tableColumn id="9" xr3:uid="{00000000-0010-0000-0700-000009000000}" name="8" dataDxfId="612" totalsRowDxfId="611"/>
    <tableColumn id="10" xr3:uid="{00000000-0010-0000-0700-00000A000000}" name="9" dataDxfId="610" totalsRowDxfId="609"/>
    <tableColumn id="11" xr3:uid="{00000000-0010-0000-0700-00000B000000}" name="10" dataDxfId="608" totalsRowDxfId="607"/>
    <tableColumn id="12" xr3:uid="{00000000-0010-0000-0700-00000C000000}" name="11" dataDxfId="606" totalsRowDxfId="605"/>
    <tableColumn id="13" xr3:uid="{00000000-0010-0000-0700-00000D000000}" name="12" dataDxfId="604" totalsRowDxfId="603"/>
    <tableColumn id="14" xr3:uid="{00000000-0010-0000-0700-00000E000000}" name="13" dataDxfId="602" totalsRowDxfId="601"/>
    <tableColumn id="15" xr3:uid="{00000000-0010-0000-0700-00000F000000}" name="14" dataDxfId="600" totalsRowDxfId="599"/>
    <tableColumn id="16" xr3:uid="{00000000-0010-0000-0700-000010000000}" name="15" dataDxfId="598" totalsRowDxfId="597"/>
    <tableColumn id="17" xr3:uid="{00000000-0010-0000-0700-000011000000}" name="16" dataDxfId="596" totalsRowDxfId="595"/>
    <tableColumn id="18" xr3:uid="{00000000-0010-0000-0700-000012000000}" name="17" dataDxfId="594" totalsRowDxfId="593"/>
    <tableColumn id="19" xr3:uid="{00000000-0010-0000-0700-000013000000}" name="18" dataDxfId="592" totalsRowDxfId="591"/>
    <tableColumn id="20" xr3:uid="{00000000-0010-0000-0700-000014000000}" name="19" dataDxfId="590" totalsRowDxfId="589"/>
    <tableColumn id="21" xr3:uid="{00000000-0010-0000-0700-000015000000}" name="20" dataDxfId="588" totalsRowDxfId="587"/>
    <tableColumn id="22" xr3:uid="{00000000-0010-0000-0700-000016000000}" name="21" dataDxfId="586" totalsRowDxfId="585"/>
    <tableColumn id="23" xr3:uid="{00000000-0010-0000-0700-000017000000}" name="22" dataDxfId="584" totalsRowDxfId="583"/>
    <tableColumn id="24" xr3:uid="{00000000-0010-0000-0700-000018000000}" name="23" dataDxfId="582" totalsRowDxfId="581"/>
    <tableColumn id="25" xr3:uid="{00000000-0010-0000-0700-000019000000}" name="24" dataDxfId="580" totalsRowDxfId="579"/>
    <tableColumn id="26" xr3:uid="{00000000-0010-0000-0700-00001A000000}" name="25" dataDxfId="578" totalsRowDxfId="577"/>
    <tableColumn id="27" xr3:uid="{00000000-0010-0000-0700-00001B000000}" name="26" dataDxfId="576" totalsRowDxfId="575"/>
    <tableColumn id="28" xr3:uid="{00000000-0010-0000-0700-00001C000000}" name="27" dataDxfId="574" totalsRowDxfId="573"/>
    <tableColumn id="29" xr3:uid="{00000000-0010-0000-0700-00001D000000}" name="28" dataDxfId="572" totalsRowDxfId="571"/>
    <tableColumn id="30" xr3:uid="{00000000-0010-0000-0700-00001E000000}" name="29" dataDxfId="570" totalsRowDxfId="569"/>
    <tableColumn id="31" xr3:uid="{00000000-0010-0000-0700-00001F000000}" name="30" dataDxfId="568" totalsRowDxfId="567"/>
    <tableColumn id="32" xr3:uid="{00000000-0010-0000-0700-000020000000}" name="31" dataDxfId="566" totalsRowDxfId="565" dataCellStyle="Total"/>
    <tableColumn id="33" xr3:uid="{00000000-0010-0000-0700-000021000000}" name="Total de días" totalsRowFunction="sum" dataDxfId="564" totalsRowDxfId="563" dataCellStyle="Total">
      <calculatedColumnFormula>COUNTA(Agosto[[#This Row],[1]:[31]])</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08000000}" name="Septiembre" displayName="Septiembre" ref="B8:AH14" totalsRowCount="1" headerRowDxfId="562" dataDxfId="561" totalsRowDxfId="560">
  <tableColumns count="33">
    <tableColumn id="1" xr3:uid="{00000000-0010-0000-0800-000001000000}" name="Nombre de los integrantes" totalsRowLabel="Numero de sprint" dataDxfId="559" totalsRowDxfId="558" dataCellStyle="Empleado"/>
    <tableColumn id="2" xr3:uid="{00000000-0010-0000-0800-000002000000}" name="1" dataDxfId="557" totalsRowDxfId="556"/>
    <tableColumn id="3" xr3:uid="{00000000-0010-0000-0800-000003000000}" name="2" dataDxfId="555" totalsRowDxfId="554"/>
    <tableColumn id="4" xr3:uid="{00000000-0010-0000-0800-000004000000}" name="3" dataDxfId="553" totalsRowDxfId="552"/>
    <tableColumn id="5" xr3:uid="{00000000-0010-0000-0800-000005000000}" name="4" dataDxfId="551" totalsRowDxfId="550"/>
    <tableColumn id="6" xr3:uid="{00000000-0010-0000-0800-000006000000}" name="5" dataDxfId="549" totalsRowDxfId="548"/>
    <tableColumn id="7" xr3:uid="{00000000-0010-0000-0800-000007000000}" name="6" dataDxfId="547" totalsRowDxfId="546"/>
    <tableColumn id="8" xr3:uid="{00000000-0010-0000-0800-000008000000}" name="7" dataDxfId="545" totalsRowDxfId="544"/>
    <tableColumn id="9" xr3:uid="{00000000-0010-0000-0800-000009000000}" name="8" dataDxfId="543" totalsRowDxfId="542"/>
    <tableColumn id="10" xr3:uid="{00000000-0010-0000-0800-00000A000000}" name="9" dataDxfId="541" totalsRowDxfId="540"/>
    <tableColumn id="11" xr3:uid="{00000000-0010-0000-0800-00000B000000}" name="10" dataDxfId="539" totalsRowDxfId="538"/>
    <tableColumn id="12" xr3:uid="{00000000-0010-0000-0800-00000C000000}" name="11" dataDxfId="537" totalsRowDxfId="536"/>
    <tableColumn id="13" xr3:uid="{00000000-0010-0000-0800-00000D000000}" name="12" dataDxfId="535" totalsRowDxfId="534"/>
    <tableColumn id="14" xr3:uid="{00000000-0010-0000-0800-00000E000000}" name="13" dataDxfId="533" totalsRowDxfId="532"/>
    <tableColumn id="15" xr3:uid="{00000000-0010-0000-0800-00000F000000}" name="14" dataDxfId="531" totalsRowDxfId="530"/>
    <tableColumn id="16" xr3:uid="{00000000-0010-0000-0800-000010000000}" name="15" dataDxfId="529" totalsRowDxfId="528"/>
    <tableColumn id="17" xr3:uid="{00000000-0010-0000-0800-000011000000}" name="16" dataDxfId="527" totalsRowDxfId="526"/>
    <tableColumn id="18" xr3:uid="{00000000-0010-0000-0800-000012000000}" name="17" dataDxfId="525" totalsRowDxfId="524"/>
    <tableColumn id="19" xr3:uid="{00000000-0010-0000-0800-000013000000}" name="18" dataDxfId="523" totalsRowDxfId="522"/>
    <tableColumn id="20" xr3:uid="{00000000-0010-0000-0800-000014000000}" name="19" dataDxfId="521" totalsRowDxfId="520"/>
    <tableColumn id="21" xr3:uid="{00000000-0010-0000-0800-000015000000}" name="20" dataDxfId="519" totalsRowDxfId="518"/>
    <tableColumn id="22" xr3:uid="{00000000-0010-0000-0800-000016000000}" name="21" dataDxfId="517" totalsRowDxfId="516"/>
    <tableColumn id="23" xr3:uid="{00000000-0010-0000-0800-000017000000}" name="22" dataDxfId="515" totalsRowDxfId="514"/>
    <tableColumn id="24" xr3:uid="{00000000-0010-0000-0800-000018000000}" name="23" dataDxfId="513" totalsRowDxfId="512"/>
    <tableColumn id="25" xr3:uid="{00000000-0010-0000-0800-000019000000}" name="24" dataDxfId="511" totalsRowDxfId="510"/>
    <tableColumn id="26" xr3:uid="{00000000-0010-0000-0800-00001A000000}" name="25" dataDxfId="509" totalsRowDxfId="508"/>
    <tableColumn id="27" xr3:uid="{00000000-0010-0000-0800-00001B000000}" name="26" dataDxfId="507" totalsRowDxfId="506"/>
    <tableColumn id="28" xr3:uid="{00000000-0010-0000-0800-00001C000000}" name="27" dataDxfId="505" totalsRowDxfId="504"/>
    <tableColumn id="29" xr3:uid="{00000000-0010-0000-0800-00001D000000}" name="28" dataDxfId="503" totalsRowDxfId="502"/>
    <tableColumn id="30" xr3:uid="{00000000-0010-0000-0800-00001E000000}" name="29" dataDxfId="501" totalsRowDxfId="500"/>
    <tableColumn id="31" xr3:uid="{00000000-0010-0000-0800-00001F000000}" name="30" dataDxfId="499" totalsRowDxfId="498"/>
    <tableColumn id="32" xr3:uid="{00000000-0010-0000-0800-000020000000}" name=" " dataDxfId="497" totalsRowDxfId="496" dataCellStyle="Total"/>
    <tableColumn id="33" xr3:uid="{00000000-0010-0000-0800-000021000000}" name="Total de horas" totalsRowFunction="sum" dataDxfId="495" totalsRowDxfId="494" dataCellStyle="Total">
      <calculatedColumnFormula>SUM(Septiembre[[#This Row],[1]:[ ]])</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9000000}" name="Octubre" displayName="Octubre" ref="B8:AH14" totalsRowCount="1" headerRowDxfId="493" dataDxfId="492" totalsRowDxfId="491">
  <tableColumns count="33">
    <tableColumn id="1" xr3:uid="{00000000-0010-0000-0900-000001000000}" name="Nombre de los integrantes" totalsRowLabel="Numero de sprint" dataDxfId="490" totalsRowDxfId="489" dataCellStyle="Empleado"/>
    <tableColumn id="2" xr3:uid="{00000000-0010-0000-0900-000002000000}" name="1" dataDxfId="488" totalsRowDxfId="487"/>
    <tableColumn id="3" xr3:uid="{00000000-0010-0000-0900-000003000000}" name="2" dataDxfId="486" totalsRowDxfId="485"/>
    <tableColumn id="4" xr3:uid="{00000000-0010-0000-0900-000004000000}" name="3" dataDxfId="484" totalsRowDxfId="483"/>
    <tableColumn id="5" xr3:uid="{00000000-0010-0000-0900-000005000000}" name="4" dataDxfId="482" totalsRowDxfId="481"/>
    <tableColumn id="6" xr3:uid="{00000000-0010-0000-0900-000006000000}" name="5" dataDxfId="480" totalsRowDxfId="479"/>
    <tableColumn id="7" xr3:uid="{00000000-0010-0000-0900-000007000000}" name="6" totalsRowLabel="1" dataDxfId="478" totalsRowDxfId="477"/>
    <tableColumn id="8" xr3:uid="{00000000-0010-0000-0900-000008000000}" name="7" totalsRowLabel="1" dataDxfId="476" totalsRowDxfId="475"/>
    <tableColumn id="9" xr3:uid="{00000000-0010-0000-0900-000009000000}" name="8" totalsRowLabel="1" dataDxfId="474" totalsRowDxfId="473"/>
    <tableColumn id="10" xr3:uid="{00000000-0010-0000-0900-00000A000000}" name="9" totalsRowLabel="1" dataDxfId="472" totalsRowDxfId="471"/>
    <tableColumn id="11" xr3:uid="{00000000-0010-0000-0900-00000B000000}" name="10" totalsRowLabel="1" dataDxfId="470" totalsRowDxfId="469"/>
    <tableColumn id="12" xr3:uid="{00000000-0010-0000-0900-00000C000000}" name="11" dataDxfId="468" totalsRowDxfId="467"/>
    <tableColumn id="13" xr3:uid="{00000000-0010-0000-0900-00000D000000}" name="12" dataDxfId="466" totalsRowDxfId="465"/>
    <tableColumn id="14" xr3:uid="{00000000-0010-0000-0900-00000E000000}" name="13" totalsRowLabel="2" dataDxfId="464" totalsRowDxfId="463"/>
    <tableColumn id="15" xr3:uid="{00000000-0010-0000-0900-00000F000000}" name="14" totalsRowLabel="2" dataDxfId="462" totalsRowDxfId="461"/>
    <tableColumn id="16" xr3:uid="{00000000-0010-0000-0900-000010000000}" name="15" totalsRowLabel="2" dataDxfId="460" totalsRowDxfId="459"/>
    <tableColumn id="17" xr3:uid="{00000000-0010-0000-0900-000011000000}" name="16" totalsRowLabel="2" dataDxfId="458" totalsRowDxfId="457"/>
    <tableColumn id="18" xr3:uid="{00000000-0010-0000-0900-000012000000}" name="17" totalsRowLabel="2" dataDxfId="456" totalsRowDxfId="455"/>
    <tableColumn id="19" xr3:uid="{00000000-0010-0000-0900-000013000000}" name="18" dataDxfId="454" totalsRowDxfId="453"/>
    <tableColumn id="20" xr3:uid="{00000000-0010-0000-0900-000014000000}" name="19" dataDxfId="452" totalsRowDxfId="451"/>
    <tableColumn id="21" xr3:uid="{00000000-0010-0000-0900-000015000000}" name="20" totalsRowLabel="3" dataDxfId="450" totalsRowDxfId="449"/>
    <tableColumn id="22" xr3:uid="{00000000-0010-0000-0900-000016000000}" name="21" totalsRowLabel="3" dataDxfId="448" totalsRowDxfId="447"/>
    <tableColumn id="23" xr3:uid="{00000000-0010-0000-0900-000017000000}" name="22" totalsRowLabel="3" dataDxfId="446" totalsRowDxfId="445"/>
    <tableColumn id="24" xr3:uid="{00000000-0010-0000-0900-000018000000}" name="23" totalsRowLabel="3" dataDxfId="444" totalsRowDxfId="443"/>
    <tableColumn id="25" xr3:uid="{00000000-0010-0000-0900-000019000000}" name="24" totalsRowLabel="3" dataDxfId="442" totalsRowDxfId="441"/>
    <tableColumn id="26" xr3:uid="{00000000-0010-0000-0900-00001A000000}" name="25" dataDxfId="440" totalsRowDxfId="439"/>
    <tableColumn id="27" xr3:uid="{00000000-0010-0000-0900-00001B000000}" name="26" dataDxfId="438" totalsRowDxfId="437"/>
    <tableColumn id="28" xr3:uid="{00000000-0010-0000-0900-00001C000000}" name="27" totalsRowLabel="4" dataDxfId="436" totalsRowDxfId="435"/>
    <tableColumn id="29" xr3:uid="{00000000-0010-0000-0900-00001D000000}" name="28" totalsRowLabel="4" dataDxfId="434" totalsRowDxfId="433"/>
    <tableColumn id="30" xr3:uid="{00000000-0010-0000-0900-00001E000000}" name="29" totalsRowLabel="4" dataDxfId="432" totalsRowDxfId="431"/>
    <tableColumn id="31" xr3:uid="{00000000-0010-0000-0900-00001F000000}" name="30" totalsRowLabel="4" dataDxfId="430" totalsRowDxfId="429"/>
    <tableColumn id="32" xr3:uid="{00000000-0010-0000-0900-000020000000}" name="31" totalsRowLabel="4" dataDxfId="428" totalsRowDxfId="427" dataCellStyle="Total"/>
    <tableColumn id="33" xr3:uid="{00000000-0010-0000-0900-000021000000}" name="Total de horas" totalsRowFunction="sum" dataDxfId="426" totalsRowDxfId="425" dataCellStyle="Total">
      <calculatedColumnFormula>SUM(Octubre[[#This Row],[1]:[31]])</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Noviembre" displayName="Noviembre" ref="B8:AH14" totalsRowCount="1" headerRowDxfId="424" dataDxfId="423" totalsRowDxfId="422">
  <tableColumns count="33">
    <tableColumn id="1" xr3:uid="{00000000-0010-0000-0A00-000001000000}" name="Nombre de los integrantes" totalsRowLabel="Numero de sprint" dataDxfId="421" totalsRowDxfId="420" dataCellStyle="Empleado"/>
    <tableColumn id="2" xr3:uid="{00000000-0010-0000-0A00-000002000000}" name="1" dataDxfId="419" totalsRowDxfId="418"/>
    <tableColumn id="3" xr3:uid="{00000000-0010-0000-0A00-000003000000}" name="2" dataDxfId="417" totalsRowDxfId="416"/>
    <tableColumn id="4" xr3:uid="{00000000-0010-0000-0A00-000004000000}" name="3" totalsRowLabel="4" dataDxfId="415" totalsRowDxfId="414"/>
    <tableColumn id="5" xr3:uid="{00000000-0010-0000-0A00-000005000000}" name="4" totalsRowLabel="4" dataDxfId="413" totalsRowDxfId="412"/>
    <tableColumn id="6" xr3:uid="{00000000-0010-0000-0A00-000006000000}" name="5" totalsRowLabel="4" dataDxfId="411" totalsRowDxfId="410"/>
    <tableColumn id="7" xr3:uid="{00000000-0010-0000-0A00-000007000000}" name="6" totalsRowLabel="4" dataDxfId="409" totalsRowDxfId="408"/>
    <tableColumn id="8" xr3:uid="{00000000-0010-0000-0A00-000008000000}" name="7" totalsRowLabel="4" dataDxfId="407" totalsRowDxfId="406"/>
    <tableColumn id="9" xr3:uid="{00000000-0010-0000-0A00-000009000000}" name="8" dataDxfId="405" totalsRowDxfId="404"/>
    <tableColumn id="10" xr3:uid="{00000000-0010-0000-0A00-00000A000000}" name="9" dataDxfId="403" totalsRowDxfId="402"/>
    <tableColumn id="11" xr3:uid="{00000000-0010-0000-0A00-00000B000000}" name="10" dataDxfId="401" totalsRowDxfId="400"/>
    <tableColumn id="12" xr3:uid="{00000000-0010-0000-0A00-00000C000000}" name="11" dataDxfId="399" totalsRowDxfId="398"/>
    <tableColumn id="13" xr3:uid="{00000000-0010-0000-0A00-00000D000000}" name="12" dataDxfId="397" totalsRowDxfId="396"/>
    <tableColumn id="14" xr3:uid="{00000000-0010-0000-0A00-00000E000000}" name="13" dataDxfId="395" totalsRowDxfId="394"/>
    <tableColumn id="15" xr3:uid="{00000000-0010-0000-0A00-00000F000000}" name="14" dataDxfId="393" totalsRowDxfId="392"/>
    <tableColumn id="16" xr3:uid="{00000000-0010-0000-0A00-000010000000}" name="15" dataDxfId="391" totalsRowDxfId="390"/>
    <tableColumn id="17" xr3:uid="{00000000-0010-0000-0A00-000011000000}" name="16" dataDxfId="389" totalsRowDxfId="388"/>
    <tableColumn id="18" xr3:uid="{00000000-0010-0000-0A00-000012000000}" name="17" dataDxfId="387" totalsRowDxfId="386"/>
    <tableColumn id="19" xr3:uid="{00000000-0010-0000-0A00-000013000000}" name="18" dataDxfId="385" totalsRowDxfId="384"/>
    <tableColumn id="20" xr3:uid="{00000000-0010-0000-0A00-000014000000}" name="19" dataDxfId="383" totalsRowDxfId="382"/>
    <tableColumn id="21" xr3:uid="{00000000-0010-0000-0A00-000015000000}" name="20" dataDxfId="381" totalsRowDxfId="380"/>
    <tableColumn id="22" xr3:uid="{00000000-0010-0000-0A00-000016000000}" name="21" dataDxfId="379" totalsRowDxfId="378"/>
    <tableColumn id="23" xr3:uid="{00000000-0010-0000-0A00-000017000000}" name="22" dataDxfId="377" totalsRowDxfId="376"/>
    <tableColumn id="24" xr3:uid="{00000000-0010-0000-0A00-000018000000}" name="23" dataDxfId="375" totalsRowDxfId="374"/>
    <tableColumn id="25" xr3:uid="{00000000-0010-0000-0A00-000019000000}" name="24" dataDxfId="373" totalsRowDxfId="372"/>
    <tableColumn id="26" xr3:uid="{00000000-0010-0000-0A00-00001A000000}" name="25" dataDxfId="371" totalsRowDxfId="370"/>
    <tableColumn id="27" xr3:uid="{00000000-0010-0000-0A00-00001B000000}" name="26" dataDxfId="369" totalsRowDxfId="368"/>
    <tableColumn id="28" xr3:uid="{00000000-0010-0000-0A00-00001C000000}" name="27" dataDxfId="367" totalsRowDxfId="366"/>
    <tableColumn id="29" xr3:uid="{00000000-0010-0000-0A00-00001D000000}" name="28" dataDxfId="365" totalsRowDxfId="364"/>
    <tableColumn id="30" xr3:uid="{00000000-0010-0000-0A00-00001E000000}" name="29" dataDxfId="363" totalsRowDxfId="362"/>
    <tableColumn id="31" xr3:uid="{00000000-0010-0000-0A00-00001F000000}" name="30" dataDxfId="361" totalsRowDxfId="360"/>
    <tableColumn id="32" xr3:uid="{00000000-0010-0000-0A00-000020000000}" name=" " dataDxfId="359" totalsRowDxfId="358" dataCellStyle="Total"/>
    <tableColumn id="33" xr3:uid="{00000000-0010-0000-0A00-000021000000}" name="Total de horas" totalsRowFunction="sum" dataDxfId="357" totalsRowDxfId="356" dataCellStyle="Total">
      <calculatedColumnFormula>SUM(Noviembre[[#This Row],[1]:[ ]])</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e los nombres de los empleados y las fechas de ausencia. Registre el tipo de ausencia según su clave en la fila 12: V = vacaciones, E = enfermedad, P = personal y dos marcadores de posición para entradas personalizadas"/>
    </ext>
  </extLst>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iciembre" displayName="Diciembre" ref="B8:AH14" totalsRowCount="1" headerRowDxfId="355" dataDxfId="354" totalsRowDxfId="353">
  <tableColumns count="33">
    <tableColumn id="1" xr3:uid="{00000000-0010-0000-0B00-000001000000}" name="Nombre de los integrante" totalsRowLabel="Numero de sprint" dataDxfId="352" totalsRowDxfId="351" dataCellStyle="Empleado"/>
    <tableColumn id="2" xr3:uid="{00000000-0010-0000-0B00-000002000000}" name="1" dataDxfId="350" totalsRowDxfId="349"/>
    <tableColumn id="3" xr3:uid="{00000000-0010-0000-0B00-000003000000}" name="2" dataDxfId="348" totalsRowDxfId="347"/>
    <tableColumn id="4" xr3:uid="{00000000-0010-0000-0B00-000004000000}" name="3" dataDxfId="346" totalsRowDxfId="345"/>
    <tableColumn id="5" xr3:uid="{00000000-0010-0000-0B00-000005000000}" name="4" dataDxfId="344" totalsRowDxfId="343"/>
    <tableColumn id="6" xr3:uid="{00000000-0010-0000-0B00-000006000000}" name="5" dataDxfId="342" totalsRowDxfId="341"/>
    <tableColumn id="7" xr3:uid="{00000000-0010-0000-0B00-000007000000}" name="6" dataDxfId="340" totalsRowDxfId="339"/>
    <tableColumn id="8" xr3:uid="{00000000-0010-0000-0B00-000008000000}" name="7" dataDxfId="338" totalsRowDxfId="337"/>
    <tableColumn id="9" xr3:uid="{00000000-0010-0000-0B00-000009000000}" name="8" dataDxfId="336" totalsRowDxfId="335"/>
    <tableColumn id="10" xr3:uid="{00000000-0010-0000-0B00-00000A000000}" name="9" dataDxfId="334" totalsRowDxfId="333"/>
    <tableColumn id="11" xr3:uid="{00000000-0010-0000-0B00-00000B000000}" name="10" dataDxfId="332" totalsRowDxfId="331"/>
    <tableColumn id="12" xr3:uid="{00000000-0010-0000-0B00-00000C000000}" name="11" dataDxfId="330" totalsRowDxfId="329"/>
    <tableColumn id="13" xr3:uid="{00000000-0010-0000-0B00-00000D000000}" name="12" dataDxfId="328" totalsRowDxfId="327"/>
    <tableColumn id="14" xr3:uid="{00000000-0010-0000-0B00-00000E000000}" name="13" dataDxfId="326" totalsRowDxfId="325"/>
    <tableColumn id="15" xr3:uid="{00000000-0010-0000-0B00-00000F000000}" name="14" dataDxfId="324" totalsRowDxfId="323"/>
    <tableColumn id="16" xr3:uid="{00000000-0010-0000-0B00-000010000000}" name="15" dataDxfId="322" totalsRowDxfId="321"/>
    <tableColumn id="17" xr3:uid="{00000000-0010-0000-0B00-000011000000}" name="16" dataDxfId="320" totalsRowDxfId="319"/>
    <tableColumn id="18" xr3:uid="{00000000-0010-0000-0B00-000012000000}" name="17" dataDxfId="318" totalsRowDxfId="317"/>
    <tableColumn id="19" xr3:uid="{00000000-0010-0000-0B00-000013000000}" name="18" dataDxfId="316" totalsRowDxfId="315"/>
    <tableColumn id="20" xr3:uid="{00000000-0010-0000-0B00-000014000000}" name="19" dataDxfId="314" totalsRowDxfId="313"/>
    <tableColumn id="21" xr3:uid="{00000000-0010-0000-0B00-000015000000}" name="20" dataDxfId="312" totalsRowDxfId="311"/>
    <tableColumn id="22" xr3:uid="{00000000-0010-0000-0B00-000016000000}" name="21" dataDxfId="310" totalsRowDxfId="309"/>
    <tableColumn id="23" xr3:uid="{00000000-0010-0000-0B00-000017000000}" name="22" dataDxfId="308" totalsRowDxfId="307"/>
    <tableColumn id="24" xr3:uid="{00000000-0010-0000-0B00-000018000000}" name="23" dataDxfId="306" totalsRowDxfId="305"/>
    <tableColumn id="25" xr3:uid="{00000000-0010-0000-0B00-000019000000}" name="24" dataDxfId="304" totalsRowDxfId="303"/>
    <tableColumn id="26" xr3:uid="{00000000-0010-0000-0B00-00001A000000}" name="25" dataDxfId="302" totalsRowDxfId="301"/>
    <tableColumn id="27" xr3:uid="{00000000-0010-0000-0B00-00001B000000}" name="26" dataDxfId="300" totalsRowDxfId="299"/>
    <tableColumn id="28" xr3:uid="{00000000-0010-0000-0B00-00001C000000}" name="27" dataDxfId="298" totalsRowDxfId="297"/>
    <tableColumn id="29" xr3:uid="{00000000-0010-0000-0B00-00001D000000}" name="28" dataDxfId="296" totalsRowDxfId="295"/>
    <tableColumn id="30" xr3:uid="{00000000-0010-0000-0B00-00001E000000}" name="29" dataDxfId="294" totalsRowDxfId="293"/>
    <tableColumn id="31" xr3:uid="{00000000-0010-0000-0B00-00001F000000}" name="30" dataDxfId="292" totalsRowDxfId="291"/>
    <tableColumn id="32" xr3:uid="{00000000-0010-0000-0B00-000020000000}" name="31" dataDxfId="290" totalsRowDxfId="289" dataCellStyle="Total"/>
    <tableColumn id="33" xr3:uid="{00000000-0010-0000-0B00-000021000000}" name="Total de horas" totalsRowFunction="sum" dataDxfId="288" totalsRowDxfId="287" dataCellStyle="Total">
      <calculatedColumnFormula>SUM(Diciembre[[#This Row],[1]:[31]])</calculatedColumnFormula>
    </tableColumn>
  </tableColumns>
  <tableStyleInfo name="Tabla de ausencia del empleado" showFirstColumn="1" showLastColumn="1" showRowStripes="1" showColumnStripes="0"/>
  <extLst>
    <ext xmlns:x14="http://schemas.microsoft.com/office/spreadsheetml/2009/9/main" uri="{504A1905-F514-4f6f-8877-14C23A59335A}">
      <x14:table altTextSummary="Proporciona una lista de nombres y fechas del calendario para registrar las ausencias de los empleados y el tipo de ausencia específico, como V = vacaciones, E = baja por enfermedad, P = asuntos personales y dos marcadores de posición de entradas personalizadas"/>
    </ext>
  </extLst>
</table>
</file>

<file path=xl/theme/theme1.xml><?xml version="1.0" encoding="utf-8"?>
<a:theme xmlns:a="http://schemas.openxmlformats.org/drawingml/2006/main" name="Office Theme">
  <a:themeElements>
    <a:clrScheme name="TM03987167">
      <a:dk1>
        <a:srgbClr val="000000"/>
      </a:dk1>
      <a:lt1>
        <a:srgbClr val="FFFFFF"/>
      </a:lt1>
      <a:dk2>
        <a:srgbClr val="44546A"/>
      </a:dk2>
      <a:lt2>
        <a:srgbClr val="E7E6E6"/>
      </a:lt2>
      <a:accent1>
        <a:srgbClr val="1F452F"/>
      </a:accent1>
      <a:accent2>
        <a:srgbClr val="709A97"/>
      </a:accent2>
      <a:accent3>
        <a:srgbClr val="1B417C"/>
      </a:accent3>
      <a:accent4>
        <a:srgbClr val="D8A141"/>
      </a:accent4>
      <a:accent5>
        <a:srgbClr val="CAAFF3"/>
      </a:accent5>
      <a:accent6>
        <a:srgbClr val="EF5C37"/>
      </a:accent6>
      <a:hlink>
        <a:srgbClr val="0563C1"/>
      </a:hlink>
      <a:folHlink>
        <a:srgbClr val="954F72"/>
      </a:folHlink>
    </a:clrScheme>
    <a:fontScheme name="Employee Absence Schedule">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 /><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 /><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 /><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 /><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 /><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 /><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 /><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 /><Relationship Id="rId1" Type="http://schemas.openxmlformats.org/officeDocument/2006/relationships/printerSettings" Target="../printerSettings/printerSettings1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1"/>
    <pageSetUpPr fitToPage="1"/>
  </sheetPr>
  <dimension ref="B1:B8"/>
  <sheetViews>
    <sheetView showGridLines="0" topLeftCell="A2" workbookViewId="0">
      <selection activeCell="B4" sqref="B4:B8"/>
    </sheetView>
  </sheetViews>
  <sheetFormatPr defaultColWidth="8.7421875" defaultRowHeight="30" customHeight="1" x14ac:dyDescent="0.2"/>
  <cols>
    <col min="1" max="1" width="2.6875" customWidth="1"/>
    <col min="2" max="2" width="43.046875" customWidth="1"/>
    <col min="3" max="3" width="2.6875" customWidth="1"/>
  </cols>
  <sheetData>
    <row r="1" spans="2:2" ht="49.9" customHeight="1" x14ac:dyDescent="0.3">
      <c r="B1" s="12" t="s">
        <v>61</v>
      </c>
    </row>
    <row r="2" spans="2:2" ht="15" customHeight="1" x14ac:dyDescent="0.2"/>
    <row r="3" spans="2:2" ht="30" customHeight="1" x14ac:dyDescent="0.2">
      <c r="B3" t="s">
        <v>47</v>
      </c>
    </row>
    <row r="4" spans="2:2" ht="30" customHeight="1" x14ac:dyDescent="0.2">
      <c r="B4" s="5" t="s">
        <v>48</v>
      </c>
    </row>
    <row r="5" spans="2:2" ht="30" customHeight="1" x14ac:dyDescent="0.2">
      <c r="B5" s="5" t="s">
        <v>49</v>
      </c>
    </row>
    <row r="6" spans="2:2" ht="30" customHeight="1" x14ac:dyDescent="0.2">
      <c r="B6" s="5" t="s">
        <v>51</v>
      </c>
    </row>
    <row r="7" spans="2:2" ht="30" customHeight="1" x14ac:dyDescent="0.2">
      <c r="B7" s="5" t="s">
        <v>52</v>
      </c>
    </row>
    <row r="8" spans="2:2" ht="30" customHeight="1" x14ac:dyDescent="0.2">
      <c r="B8" s="5" t="s">
        <v>50</v>
      </c>
    </row>
  </sheetData>
  <phoneticPr fontId="32" type="noConversion"/>
  <dataValidations count="2">
    <dataValidation allowBlank="1" showInputMessage="1" showErrorMessage="1" prompt="Escriba los nombres de los empleados en la tabla del nombre del empleado de esta hoja de cálculo. Estos nombres se usan como opciones en la columna B de la tabla de ausencias de cada mes" sqref="A1" xr:uid="{00000000-0002-0000-0C00-000001000000}"/>
    <dataValidation allowBlank="1" showInputMessage="1" showErrorMessage="1" prompt="Escriba los nombres de los empleados en esta columna" sqref="B3" xr:uid="{00000000-0002-0000-0C00-000002000000}"/>
  </dataValidations>
  <printOptions horizontalCentered="1"/>
  <pageMargins left="0.25" right="0.25" top="0.75" bottom="0.75" header="0.3" footer="0.3"/>
  <pageSetup paperSize="9" fitToHeight="0" orientation="landscape"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39997558519241921"/>
    <pageSetUpPr fitToPage="1"/>
  </sheetPr>
  <dimension ref="A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1:34" s="14" customFormat="1" ht="49.9" customHeight="1" x14ac:dyDescent="0.3">
      <c r="A1" s="13"/>
      <c r="B1" s="25" t="s">
        <v>53</v>
      </c>
    </row>
    <row r="2" spans="1:34" s="14" customFormat="1" ht="100.15" customHeight="1" x14ac:dyDescent="0.2">
      <c r="A2"/>
      <c r="B2" s="24" t="s">
        <v>0</v>
      </c>
    </row>
    <row r="3" spans="1:34" s="14" customFormat="1" ht="15" customHeight="1" x14ac:dyDescent="0.2">
      <c r="A3"/>
      <c r="B3" s="9"/>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E3" s="15"/>
      <c r="AF3" s="15"/>
      <c r="AG3" s="15"/>
      <c r="AH3" s="15"/>
    </row>
    <row r="4" spans="1: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1:34" ht="15" customHeight="1" x14ac:dyDescent="0.2">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7"/>
    </row>
    <row r="6" spans="1: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v>2025</v>
      </c>
    </row>
    <row r="7" spans="1:34" ht="30" customHeight="1" x14ac:dyDescent="0.2">
      <c r="B7" s="6"/>
      <c r="C7" s="22" t="str">
        <f>TEXT(WEEKDAY(DATE(CalendarYear,1,1),1),"ddd")</f>
        <v>mié</v>
      </c>
      <c r="D7" s="22" t="str">
        <f>TEXT(WEEKDAY(DATE(CalendarYear,1,2),1),"ddd")</f>
        <v>jue</v>
      </c>
      <c r="E7" s="22" t="str">
        <f>TEXT(WEEKDAY(DATE(CalendarYear,1,3),1),"ddd")</f>
        <v>vie</v>
      </c>
      <c r="F7" s="22" t="str">
        <f>TEXT(WEEKDAY(DATE(CalendarYear,1,4),1),"ddd")</f>
        <v>sáb</v>
      </c>
      <c r="G7" s="22" t="str">
        <f>TEXT(WEEKDAY(DATE(CalendarYear,1,5),1),"ddd")</f>
        <v>dom</v>
      </c>
      <c r="H7" s="22" t="str">
        <f>TEXT(WEEKDAY(DATE(CalendarYear,1,6),1),"ddd")</f>
        <v>lun</v>
      </c>
      <c r="I7" s="22" t="str">
        <f>TEXT(WEEKDAY(DATE(CalendarYear,1,7),1),"ddd")</f>
        <v>mar</v>
      </c>
      <c r="J7" s="22" t="str">
        <f>TEXT(WEEKDAY(DATE(CalendarYear,1,8),1),"ddd")</f>
        <v>mié</v>
      </c>
      <c r="K7" s="22" t="str">
        <f>TEXT(WEEKDAY(DATE(CalendarYear,1,9),1),"ddd")</f>
        <v>jue</v>
      </c>
      <c r="L7" s="22" t="str">
        <f>TEXT(WEEKDAY(DATE(CalendarYear,1,10),1),"ddd")</f>
        <v>vie</v>
      </c>
      <c r="M7" s="22" t="str">
        <f>TEXT(WEEKDAY(DATE(CalendarYear,1,11),1),"ddd")</f>
        <v>sáb</v>
      </c>
      <c r="N7" s="22" t="str">
        <f>TEXT(WEEKDAY(DATE(CalendarYear,1,12),1),"ddd")</f>
        <v>dom</v>
      </c>
      <c r="O7" s="22" t="str">
        <f>TEXT(WEEKDAY(DATE(CalendarYear,1,13),1),"ddd")</f>
        <v>lun</v>
      </c>
      <c r="P7" s="22" t="str">
        <f>TEXT(WEEKDAY(DATE(CalendarYear,1,14),1),"ddd")</f>
        <v>mar</v>
      </c>
      <c r="Q7" s="22" t="str">
        <f>TEXT(WEEKDAY(DATE(CalendarYear,1,15),1),"ddd")</f>
        <v>mié</v>
      </c>
      <c r="R7" s="22" t="str">
        <f>TEXT(WEEKDAY(DATE(CalendarYear,1,16),1),"ddd")</f>
        <v>jue</v>
      </c>
      <c r="S7" s="22" t="str">
        <f>TEXT(WEEKDAY(DATE(CalendarYear,1,17),1),"ddd")</f>
        <v>vie</v>
      </c>
      <c r="T7" s="22" t="str">
        <f>TEXT(WEEKDAY(DATE(CalendarYear,1,18),1),"ddd")</f>
        <v>sáb</v>
      </c>
      <c r="U7" s="22" t="str">
        <f>TEXT(WEEKDAY(DATE(CalendarYear,1,19),1),"ddd")</f>
        <v>dom</v>
      </c>
      <c r="V7" s="22" t="str">
        <f>TEXT(WEEKDAY(DATE(CalendarYear,1,20),1),"ddd")</f>
        <v>lun</v>
      </c>
      <c r="W7" s="22" t="str">
        <f>TEXT(WEEKDAY(DATE(CalendarYear,1,21),1),"ddd")</f>
        <v>mar</v>
      </c>
      <c r="X7" s="22" t="str">
        <f>TEXT(WEEKDAY(DATE(CalendarYear,1,22),1),"ddd")</f>
        <v>mié</v>
      </c>
      <c r="Y7" s="22" t="str">
        <f>TEXT(WEEKDAY(DATE(CalendarYear,1,23),1),"ddd")</f>
        <v>jue</v>
      </c>
      <c r="Z7" s="22" t="str">
        <f>TEXT(WEEKDAY(DATE(CalendarYear,1,24),1),"ddd")</f>
        <v>vie</v>
      </c>
      <c r="AA7" s="22" t="str">
        <f>TEXT(WEEKDAY(DATE(CalendarYear,1,25),1),"ddd")</f>
        <v>sáb</v>
      </c>
      <c r="AB7" s="22" t="str">
        <f>TEXT(WEEKDAY(DATE(CalendarYear,1,26),1),"ddd")</f>
        <v>dom</v>
      </c>
      <c r="AC7" s="22" t="str">
        <f>TEXT(WEEKDAY(DATE(CalendarYear,1,27),1),"ddd")</f>
        <v>lun</v>
      </c>
      <c r="AD7" s="22" t="str">
        <f>TEXT(WEEKDAY(DATE(CalendarYear,1,28),1),"ddd")</f>
        <v>mar</v>
      </c>
      <c r="AE7" s="22" t="str">
        <f>TEXT(WEEKDAY(DATE(CalendarYear,1,29),1),"ddd")</f>
        <v>mié</v>
      </c>
      <c r="AF7" s="22" t="str">
        <f>TEXT(WEEKDAY(DATE(CalendarYear,1,30),1),"ddd")</f>
        <v>jue</v>
      </c>
      <c r="AG7" s="22" t="str">
        <f>TEXT(WEEKDAY(DATE(CalendarYear,1,31),1),"ddd")</f>
        <v>vie</v>
      </c>
      <c r="AH7" s="6"/>
    </row>
    <row r="8" spans="1: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23" t="s">
        <v>33</v>
      </c>
    </row>
    <row r="9" spans="1:34" ht="30" customHeight="1" x14ac:dyDescent="0.2">
      <c r="B9" s="2" t="s">
        <v>48</v>
      </c>
      <c r="C9" s="1"/>
      <c r="D9" s="1"/>
      <c r="E9" s="20"/>
      <c r="F9" s="20" t="s">
        <v>56</v>
      </c>
      <c r="G9" s="20" t="s">
        <v>56</v>
      </c>
      <c r="H9" s="20"/>
      <c r="I9" s="1"/>
      <c r="J9" s="1"/>
      <c r="K9" s="1"/>
      <c r="L9" s="1"/>
      <c r="M9" s="20" t="s">
        <v>56</v>
      </c>
      <c r="N9" s="20" t="s">
        <v>56</v>
      </c>
      <c r="O9" s="1"/>
      <c r="P9" s="1"/>
      <c r="Q9" s="1"/>
      <c r="R9" s="1"/>
      <c r="S9" s="1"/>
      <c r="T9" s="20" t="s">
        <v>56</v>
      </c>
      <c r="U9" s="20" t="s">
        <v>56</v>
      </c>
      <c r="V9" s="1"/>
      <c r="W9" s="1"/>
      <c r="X9" s="1"/>
      <c r="Y9" s="1"/>
      <c r="Z9" s="1"/>
      <c r="AA9" s="1" t="s">
        <v>56</v>
      </c>
      <c r="AB9" s="1" t="s">
        <v>56</v>
      </c>
      <c r="AC9" s="1"/>
      <c r="AD9" s="1"/>
      <c r="AE9" s="1"/>
      <c r="AF9" s="1"/>
      <c r="AG9" s="1"/>
      <c r="AH9" s="3">
        <f>COUNTA(Enero!$C9:$AG9)</f>
        <v>8</v>
      </c>
    </row>
    <row r="10" spans="1:34" ht="30" customHeight="1" x14ac:dyDescent="0.2">
      <c r="B10" s="2" t="s">
        <v>49</v>
      </c>
      <c r="C10" s="1"/>
      <c r="D10" s="1"/>
      <c r="E10" s="1"/>
      <c r="F10" s="1" t="s">
        <v>56</v>
      </c>
      <c r="G10" s="1" t="s">
        <v>56</v>
      </c>
      <c r="H10" s="1"/>
      <c r="I10" s="1"/>
      <c r="J10" s="1"/>
      <c r="K10" s="1"/>
      <c r="L10" s="1"/>
      <c r="M10" s="1" t="s">
        <v>56</v>
      </c>
      <c r="N10" s="1" t="s">
        <v>56</v>
      </c>
      <c r="O10" s="1"/>
      <c r="P10" s="1"/>
      <c r="Q10" s="1"/>
      <c r="R10" s="1"/>
      <c r="S10" s="1"/>
      <c r="T10" s="1" t="s">
        <v>56</v>
      </c>
      <c r="U10" s="1" t="s">
        <v>56</v>
      </c>
      <c r="V10" s="1"/>
      <c r="W10" s="1"/>
      <c r="X10" s="1"/>
      <c r="Y10" s="1"/>
      <c r="Z10" s="1"/>
      <c r="AA10" s="1" t="s">
        <v>56</v>
      </c>
      <c r="AB10" s="1" t="s">
        <v>56</v>
      </c>
      <c r="AC10" s="1"/>
      <c r="AD10" s="1"/>
      <c r="AE10" s="1"/>
      <c r="AF10" s="1"/>
      <c r="AG10" s="1"/>
      <c r="AH10" s="3">
        <f>COUNTA(Enero!$C10:$AG10)</f>
        <v>8</v>
      </c>
    </row>
    <row r="11" spans="1:34" ht="30" customHeight="1" x14ac:dyDescent="0.2">
      <c r="B11" s="2" t="s">
        <v>51</v>
      </c>
      <c r="C11" s="1"/>
      <c r="D11" s="1"/>
      <c r="E11" s="1"/>
      <c r="F11" s="1" t="s">
        <v>56</v>
      </c>
      <c r="G11" s="1" t="s">
        <v>56</v>
      </c>
      <c r="H11" s="1"/>
      <c r="I11" s="1"/>
      <c r="J11" s="1"/>
      <c r="K11" s="1"/>
      <c r="L11" s="1"/>
      <c r="M11" s="1" t="s">
        <v>56</v>
      </c>
      <c r="N11" s="1" t="s">
        <v>56</v>
      </c>
      <c r="O11" s="1"/>
      <c r="P11" s="1"/>
      <c r="Q11" s="1"/>
      <c r="R11" s="1"/>
      <c r="S11" s="1"/>
      <c r="T11" s="1" t="s">
        <v>56</v>
      </c>
      <c r="U11" s="1" t="s">
        <v>56</v>
      </c>
      <c r="V11" s="1"/>
      <c r="W11" s="1"/>
      <c r="X11" s="1"/>
      <c r="Y11" s="1"/>
      <c r="Z11" s="1"/>
      <c r="AA11" s="1" t="s">
        <v>56</v>
      </c>
      <c r="AB11" s="1" t="s">
        <v>56</v>
      </c>
      <c r="AC11" s="1"/>
      <c r="AD11" s="1"/>
      <c r="AE11" s="1"/>
      <c r="AF11" s="1"/>
      <c r="AG11" s="1"/>
      <c r="AH11" s="3">
        <f>COUNTA(Enero!$C11:$AG11)</f>
        <v>8</v>
      </c>
    </row>
    <row r="12" spans="1:34" ht="30" customHeight="1" x14ac:dyDescent="0.2">
      <c r="B12" s="2" t="s">
        <v>52</v>
      </c>
      <c r="C12" s="1"/>
      <c r="D12" s="1"/>
      <c r="E12" s="1"/>
      <c r="F12" s="1" t="s">
        <v>56</v>
      </c>
      <c r="G12" s="1" t="s">
        <v>56</v>
      </c>
      <c r="H12" s="1"/>
      <c r="I12" s="1"/>
      <c r="J12" s="1"/>
      <c r="K12" s="1"/>
      <c r="L12" s="1"/>
      <c r="M12" s="1" t="s">
        <v>56</v>
      </c>
      <c r="N12" s="1" t="s">
        <v>56</v>
      </c>
      <c r="O12" s="1"/>
      <c r="P12" s="1"/>
      <c r="Q12" s="1"/>
      <c r="R12" s="1"/>
      <c r="S12" s="1"/>
      <c r="T12" s="1" t="s">
        <v>56</v>
      </c>
      <c r="U12" s="1" t="s">
        <v>56</v>
      </c>
      <c r="V12" s="1"/>
      <c r="W12" s="1"/>
      <c r="X12" s="1"/>
      <c r="Y12" s="1"/>
      <c r="Z12" s="1"/>
      <c r="AA12" s="1" t="s">
        <v>56</v>
      </c>
      <c r="AB12" s="1" t="s">
        <v>56</v>
      </c>
      <c r="AC12" s="1"/>
      <c r="AD12" s="1"/>
      <c r="AE12" s="1"/>
      <c r="AF12" s="1"/>
      <c r="AG12" s="1"/>
      <c r="AH12" s="3">
        <f>COUNTA(Enero!$C12:$AG12)</f>
        <v>8</v>
      </c>
    </row>
    <row r="13" spans="1:34" ht="30" customHeight="1" x14ac:dyDescent="0.2">
      <c r="B13" s="2" t="s">
        <v>50</v>
      </c>
      <c r="C13" s="1"/>
      <c r="D13" s="1"/>
      <c r="E13" s="1"/>
      <c r="F13" s="1" t="s">
        <v>56</v>
      </c>
      <c r="G13" s="1" t="s">
        <v>56</v>
      </c>
      <c r="H13" s="1"/>
      <c r="I13" s="1"/>
      <c r="J13" s="1"/>
      <c r="K13" s="1"/>
      <c r="L13" s="1"/>
      <c r="M13" s="1" t="s">
        <v>56</v>
      </c>
      <c r="N13" s="1" t="s">
        <v>56</v>
      </c>
      <c r="O13" s="1"/>
      <c r="P13" s="1"/>
      <c r="Q13" s="1"/>
      <c r="R13" s="1"/>
      <c r="S13" s="1"/>
      <c r="T13" s="1" t="s">
        <v>56</v>
      </c>
      <c r="U13" s="1" t="s">
        <v>56</v>
      </c>
      <c r="V13" s="1"/>
      <c r="W13" s="1"/>
      <c r="X13" s="1"/>
      <c r="Y13" s="1"/>
      <c r="Z13" s="1"/>
      <c r="AA13" s="1" t="s">
        <v>56</v>
      </c>
      <c r="AB13" s="1" t="s">
        <v>56</v>
      </c>
      <c r="AC13" s="1"/>
      <c r="AD13" s="1"/>
      <c r="AE13" s="1"/>
      <c r="AF13" s="1"/>
      <c r="AG13" s="1"/>
      <c r="AH13" s="3">
        <f>COUNTA(Enero!$C13:$AG13)</f>
        <v>8</v>
      </c>
    </row>
    <row r="14" spans="1: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SUBTOTAL(109,Enero[Total de días])</f>
        <v>40</v>
      </c>
    </row>
  </sheetData>
  <mergeCells count="6">
    <mergeCell ref="C6:AG6"/>
    <mergeCell ref="D4:F4"/>
    <mergeCell ref="H4:J4"/>
    <mergeCell ref="L4:N4"/>
    <mergeCell ref="P4:S4"/>
    <mergeCell ref="U4:X4"/>
  </mergeCells>
  <phoneticPr fontId="32" type="noConversion"/>
  <conditionalFormatting sqref="C9:Z13 AC9:AG13">
    <cfRule type="expression" priority="9" stopIfTrue="1">
      <formula>C9=""</formula>
    </cfRule>
    <cfRule type="expression" dxfId="286" priority="14" stopIfTrue="1">
      <formula>C9=KeyCustom2</formula>
    </cfRule>
    <cfRule type="expression" dxfId="285" priority="15" stopIfTrue="1">
      <formula>C9=KeyCustom1</formula>
    </cfRule>
    <cfRule type="expression" dxfId="284" priority="16" stopIfTrue="1">
      <formula>C9=KeySick</formula>
    </cfRule>
    <cfRule type="expression" dxfId="283" priority="17" stopIfTrue="1">
      <formula>C9=KeyPersonal</formula>
    </cfRule>
    <cfRule type="expression" dxfId="282" priority="18" stopIfTrue="1">
      <formula>C9=KeyVacation</formula>
    </cfRule>
  </conditionalFormatting>
  <conditionalFormatting sqref="AA9:AB13">
    <cfRule type="expression" priority="1" stopIfTrue="1">
      <formula>AA9=""</formula>
    </cfRule>
    <cfRule type="expression" dxfId="281" priority="2" stopIfTrue="1">
      <formula>AA9=KeyCustom2</formula>
    </cfRule>
    <cfRule type="expression" dxfId="280" priority="3" stopIfTrue="1">
      <formula>AA9=KeyCustom1</formula>
    </cfRule>
    <cfRule type="expression" dxfId="279" priority="4" stopIfTrue="1">
      <formula>AA9=KeySick</formula>
    </cfRule>
    <cfRule type="expression" dxfId="278" priority="5" stopIfTrue="1">
      <formula>AA9=KeyPersonal</formula>
    </cfRule>
    <cfRule type="expression" dxfId="277" priority="6" stopIfTrue="1">
      <formula>AA9=KeyVacation</formula>
    </cfRule>
  </conditionalFormatting>
  <conditionalFormatting sqref="AH9:AH13">
    <cfRule type="dataBar" priority="176">
      <dataBar>
        <cfvo type="num" val="0"/>
        <cfvo type="num" val="31"/>
        <color theme="4"/>
      </dataBar>
      <extLst>
        <ext xmlns:x14="http://schemas.microsoft.com/office/spreadsheetml/2009/9/main" uri="{B025F937-C7B1-47D3-B67F-A62EFF666E3E}">
          <x14:id>{ECCE2C3C-1B01-4700-B60E-DAAAB19A9C1A}</x14:id>
        </ext>
      </extLst>
    </cfRule>
  </conditionalFormatting>
  <dataValidations count="16">
    <dataValidation allowBlank="1" showInputMessage="1" showErrorMessage="1" prompt="Los días del mes se generan automáticamente en esta fila. Especifique la ausencia del empleado y el tipo en cada columna para cada día del mes. En blanco significa que no hay ninguna ausencia" sqref="C8" xr:uid="{FAB55708-481E-2E48-9F66-3C8E8545F6B0}"/>
    <dataValidation allowBlank="1" showInputMessage="1" showErrorMessage="1" prompt="La letra “V” indica una ausencia por vacaciones" sqref="C4" xr:uid="{433BAE2A-C136-4894-9325-79E26A376649}"/>
    <dataValidation allowBlank="1" showInputMessage="1" showErrorMessage="1" prompt="La letra “P” indica una ausencia por motivos personales" sqref="G4" xr:uid="{3D85D32A-7924-4EAA-AFAC-F2632B6A6ECA}"/>
    <dataValidation allowBlank="1" showInputMessage="1" showErrorMessage="1" prompt="La letra “E” indica una ausencia por enfermedad" sqref="K4" xr:uid="{EB3069ED-1BEC-47C4-86B8-A3B8FFD423BA}"/>
    <dataValidation allowBlank="1" showInputMessage="1" showErrorMessage="1" prompt="Escriba una letra y personalice la etiqueta de la derecha para agregar otro elemento clave." sqref="O4 T4" xr:uid="{CF96999C-E0ED-4671-BF1C-78684A05E2B8}"/>
    <dataValidation allowBlank="1" showInputMessage="1" showErrorMessage="1" prompt="El plan de ausencias de los empleados realiza un seguimiento por día durante cada mes. Hay 13 hojas de cálculo, 12 para los meses y la última para los nombres de los empleados. Realice un seguimiento de las ausencias de enero en esta hoja de cálculo" sqref="A1" xr:uid="{00000000-0002-0000-0000-00000D000000}"/>
    <dataValidation allowBlank="1" showInputMessage="1" showErrorMessage="1" prompt="Escriba el año en la celda siguiente." sqref="AH5" xr:uid="{00000000-0002-0000-0000-00000E000000}"/>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DF4494D1-42F6-BB47-AFAB-18021A3441AC}"/>
    <dataValidation allowBlank="1" showInputMessage="1" showErrorMessage="1" prompt="El título se actualiza automáticamente en esta celda. Para modificarlo, actualice la celda B1 en la hoja de cálculo de enero" sqref="B2" xr:uid="{20FFCBA6-5698-4E4B-9E75-1B2FD678A862}"/>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BDD4ECDE-9731-4B78-AEDB-869F18B72BA1}"/>
    <dataValidation allowBlank="1" showInputMessage="1" showErrorMessage="1" prompt="Calcula automáticamente el número total de días que un empleado estuvo ausente este mes en esta columna" sqref="AH8" xr:uid="{17D68424-3ED0-774F-A440-37779B4905D7}"/>
    <dataValidation allowBlank="1" showInputMessage="1" showErrorMessage="1" prompt="Escriba el año en esta celda." sqref="AH6" xr:uid="{00000000-0002-0000-0000-000000000000}"/>
    <dataValidation allowBlank="1" showInputMessage="1" showErrorMessage="1" prompt="Los días laborables en esta fila se actualizan automáticamente durante el mes según el año en AH4. Cada día del mes es una columna para indicar la ausencia del empleado y el tipo de ausencia" sqref="C7" xr:uid="{F6CAA384-C773-F044-845D-980CB65F95B2}"/>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254C5299-B8DC-4E28-AD10-F93B45AED253}"/>
    <dataValidation allowBlank="1" showInputMessage="1" showErrorMessage="1" prompt="Esta celda contiene el título de la hoja de cálculo. " sqref="B1" xr:uid="{F61E6882-FE5C-43CD-B756-4B881652736D}"/>
    <dataValidation allowBlank="1" showInputMessage="1" showErrorMessage="1" prompt="Escriba una etiqueta para describir la clave personalizada de la izquierda." sqref="U4 P4" xr:uid="{D5BB3E15-658A-4FB8-ADBB-097789915120}"/>
  </dataValidations>
  <printOptions horizontalCentered="1"/>
  <pageMargins left="0.25" right="0.25" top="0.75" bottom="0.75" header="0.3" footer="0.3"/>
  <pageSetup paperSize="9" scale="75" fitToHeight="0" orientation="landscape" r:id="rId1"/>
  <headerFooter differentFirst="1">
    <oddFooter>Page &amp;P of &amp;N</oddFooter>
  </headerFooter>
  <cellWatches>
    <cellWatch r="K4"/>
    <cellWatch r="L4"/>
  </cellWatches>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CCE2C3C-1B01-4700-B60E-DAAAB19A9C1A}">
            <x14:dataBar minLength="0" maxLength="100" gradient="0">
              <x14:cfvo type="num">
                <xm:f>0</xm:f>
              </x14:cfvo>
              <x14:cfvo type="num">
                <xm:f>31</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F000000}">
          <x14:formula1>
            <xm:f>'Integrantes del equipo'!$B$4:$B$8</xm:f>
          </x14:formula1>
          <xm:sqref>B9:B13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pageSetUpPr fitToPage="1"/>
  </sheetPr>
  <dimension ref="A1:AH14"/>
  <sheetViews>
    <sheetView showGridLines="0" zoomScaleNormal="100" workbookViewId="0">
      <selection activeCell="C4" sqref="C4:J4"/>
    </sheetView>
  </sheetViews>
  <sheetFormatPr defaultColWidth="9.1445312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1:34" ht="49.9" customHeight="1" x14ac:dyDescent="0.3">
      <c r="B1" s="25" t="s">
        <v>53</v>
      </c>
    </row>
    <row r="2" spans="1:34" s="11" customFormat="1" ht="100.15" customHeight="1" x14ac:dyDescent="0.2">
      <c r="A2"/>
      <c r="B2" s="24" t="s">
        <v>34</v>
      </c>
    </row>
    <row r="3" spans="1: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1: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1: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1: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1:34" ht="30" customHeight="1" x14ac:dyDescent="0.2">
      <c r="B7" s="6"/>
      <c r="C7" s="22" t="str">
        <f>TEXT(WEEKDAY(DATE(CalendarYear,2,1),1),"ddd")</f>
        <v>sáb</v>
      </c>
      <c r="D7" s="22" t="str">
        <f>TEXT(WEEKDAY(DATE(CalendarYear,2,2),1),"ddd")</f>
        <v>dom</v>
      </c>
      <c r="E7" s="22" t="str">
        <f>TEXT(WEEKDAY(DATE(CalendarYear,2,3),1),"ddd")</f>
        <v>lun</v>
      </c>
      <c r="F7" s="22" t="str">
        <f>TEXT(WEEKDAY(DATE(CalendarYear,2,4),1),"ddd")</f>
        <v>mar</v>
      </c>
      <c r="G7" s="22" t="str">
        <f>TEXT(WEEKDAY(DATE(CalendarYear,2,5),1),"ddd")</f>
        <v>mié</v>
      </c>
      <c r="H7" s="22" t="str">
        <f>TEXT(WEEKDAY(DATE(CalendarYear,2,6),1),"ddd")</f>
        <v>jue</v>
      </c>
      <c r="I7" s="22" t="str">
        <f>TEXT(WEEKDAY(DATE(CalendarYear,2,7),1),"ddd")</f>
        <v>vie</v>
      </c>
      <c r="J7" s="22" t="str">
        <f>TEXT(WEEKDAY(DATE(CalendarYear,2,8),1),"ddd")</f>
        <v>sáb</v>
      </c>
      <c r="K7" s="22" t="str">
        <f>TEXT(WEEKDAY(DATE(CalendarYear,2,9),1),"ddd")</f>
        <v>dom</v>
      </c>
      <c r="L7" s="22" t="str">
        <f>TEXT(WEEKDAY(DATE(CalendarYear,2,10),1),"ddd")</f>
        <v>lun</v>
      </c>
      <c r="M7" s="22" t="str">
        <f>TEXT(WEEKDAY(DATE(CalendarYear,2,11),1),"ddd")</f>
        <v>mar</v>
      </c>
      <c r="N7" s="22" t="str">
        <f>TEXT(WEEKDAY(DATE(CalendarYear,2,12),1),"ddd")</f>
        <v>mié</v>
      </c>
      <c r="O7" s="22" t="str">
        <f>TEXT(WEEKDAY(DATE(CalendarYear,2,13),1),"ddd")</f>
        <v>jue</v>
      </c>
      <c r="P7" s="22" t="str">
        <f>TEXT(WEEKDAY(DATE(CalendarYear,2,14),1),"ddd")</f>
        <v>vie</v>
      </c>
      <c r="Q7" s="22" t="str">
        <f>TEXT(WEEKDAY(DATE(CalendarYear,2,15),1),"ddd")</f>
        <v>sáb</v>
      </c>
      <c r="R7" s="22" t="str">
        <f>TEXT(WEEKDAY(DATE(CalendarYear,2,16),1),"ddd")</f>
        <v>dom</v>
      </c>
      <c r="S7" s="22" t="str">
        <f>TEXT(WEEKDAY(DATE(CalendarYear,2,17),1),"ddd")</f>
        <v>lun</v>
      </c>
      <c r="T7" s="22" t="str">
        <f>TEXT(WEEKDAY(DATE(CalendarYear,2,18),1),"ddd")</f>
        <v>mar</v>
      </c>
      <c r="U7" s="22" t="str">
        <f>TEXT(WEEKDAY(DATE(CalendarYear,2,19),1),"ddd")</f>
        <v>mié</v>
      </c>
      <c r="V7" s="22" t="str">
        <f>TEXT(WEEKDAY(DATE(CalendarYear,2,20),1),"ddd")</f>
        <v>jue</v>
      </c>
      <c r="W7" s="22" t="str">
        <f>TEXT(WEEKDAY(DATE(CalendarYear,2,21),1),"ddd")</f>
        <v>vie</v>
      </c>
      <c r="X7" s="22" t="str">
        <f>TEXT(WEEKDAY(DATE(CalendarYear,2,22),1),"ddd")</f>
        <v>sáb</v>
      </c>
      <c r="Y7" s="22" t="str">
        <f>TEXT(WEEKDAY(DATE(CalendarYear,2,23),1),"ddd")</f>
        <v>dom</v>
      </c>
      <c r="Z7" s="22" t="str">
        <f>TEXT(WEEKDAY(DATE(CalendarYear,2,24),1),"ddd")</f>
        <v>lun</v>
      </c>
      <c r="AA7" s="22" t="str">
        <f>TEXT(WEEKDAY(DATE(CalendarYear,2,25),1),"ddd")</f>
        <v>mar</v>
      </c>
      <c r="AB7" s="22" t="str">
        <f>TEXT(WEEKDAY(DATE(CalendarYear,2,26),1),"ddd")</f>
        <v>mié</v>
      </c>
      <c r="AC7" s="22" t="str">
        <f>TEXT(WEEKDAY(DATE(CalendarYear,2,27),1),"ddd")</f>
        <v>jue</v>
      </c>
      <c r="AD7" s="22" t="str">
        <f>TEXT(WEEKDAY(DATE(CalendarYear,2,28),1),"ddd")</f>
        <v>vie</v>
      </c>
      <c r="AE7" s="22" t="str">
        <f>TEXT(WEEKDAY(DATE(CalendarYear,2,29),1),"ddd")</f>
        <v>sáb</v>
      </c>
      <c r="AF7" s="22"/>
      <c r="AG7" s="22"/>
      <c r="AH7" s="6"/>
    </row>
    <row r="8" spans="1: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35</v>
      </c>
      <c r="AG8" s="1" t="s">
        <v>36</v>
      </c>
      <c r="AH8" s="23" t="s">
        <v>33</v>
      </c>
    </row>
    <row r="9" spans="1:34" ht="30" customHeight="1" x14ac:dyDescent="0.2">
      <c r="B9" s="2" t="s">
        <v>48</v>
      </c>
      <c r="C9" s="20" t="s">
        <v>56</v>
      </c>
      <c r="D9" s="20" t="s">
        <v>56</v>
      </c>
      <c r="E9" s="20"/>
      <c r="F9" s="20"/>
      <c r="G9" s="20"/>
      <c r="H9" s="20"/>
      <c r="I9" s="20"/>
      <c r="J9" s="20" t="s">
        <v>56</v>
      </c>
      <c r="K9" s="20" t="s">
        <v>56</v>
      </c>
      <c r="L9" s="20"/>
      <c r="M9" s="20"/>
      <c r="N9" s="20"/>
      <c r="O9" s="20"/>
      <c r="P9" s="20"/>
      <c r="Q9" s="20" t="s">
        <v>56</v>
      </c>
      <c r="R9" s="20" t="s">
        <v>56</v>
      </c>
      <c r="S9" s="20"/>
      <c r="T9" s="20"/>
      <c r="U9" s="20"/>
      <c r="V9" s="20"/>
      <c r="W9" s="20"/>
      <c r="X9" s="20" t="s">
        <v>56</v>
      </c>
      <c r="Y9" s="20" t="s">
        <v>56</v>
      </c>
      <c r="Z9" s="20"/>
      <c r="AA9" s="20"/>
      <c r="AB9" s="20"/>
      <c r="AC9" s="20"/>
      <c r="AD9" s="20"/>
      <c r="AE9" s="20"/>
      <c r="AF9" s="20"/>
      <c r="AG9" s="20"/>
      <c r="AH9" s="3">
        <f>COUNTA(Febrero[[#This Row],[1]:[29]])</f>
        <v>8</v>
      </c>
    </row>
    <row r="10" spans="1:34" ht="30" customHeight="1" x14ac:dyDescent="0.2">
      <c r="B10" s="2" t="s">
        <v>49</v>
      </c>
      <c r="C10" s="1" t="s">
        <v>56</v>
      </c>
      <c r="D10" s="1" t="s">
        <v>56</v>
      </c>
      <c r="E10" s="20"/>
      <c r="F10" s="20"/>
      <c r="G10" s="20"/>
      <c r="H10" s="20"/>
      <c r="I10" s="20"/>
      <c r="J10" s="1" t="s">
        <v>56</v>
      </c>
      <c r="K10" s="1" t="s">
        <v>56</v>
      </c>
      <c r="L10" s="20"/>
      <c r="M10" s="20"/>
      <c r="N10" s="20"/>
      <c r="O10" s="20"/>
      <c r="P10" s="20"/>
      <c r="Q10" s="1" t="s">
        <v>56</v>
      </c>
      <c r="R10" s="1" t="s">
        <v>56</v>
      </c>
      <c r="S10" s="20"/>
      <c r="T10" s="20"/>
      <c r="U10" s="20"/>
      <c r="V10" s="20"/>
      <c r="W10" s="20"/>
      <c r="X10" s="1" t="s">
        <v>56</v>
      </c>
      <c r="Y10" s="1" t="s">
        <v>56</v>
      </c>
      <c r="Z10" s="20"/>
      <c r="AA10" s="20"/>
      <c r="AB10" s="20"/>
      <c r="AC10" s="20"/>
      <c r="AD10" s="20"/>
      <c r="AE10" s="20"/>
      <c r="AF10" s="20"/>
      <c r="AG10" s="20"/>
      <c r="AH10" s="3">
        <f>COUNTA(Febrero[[#This Row],[1]:[29]])</f>
        <v>8</v>
      </c>
    </row>
    <row r="11" spans="1:34" ht="30" customHeight="1" x14ac:dyDescent="0.2">
      <c r="B11" s="2" t="s">
        <v>51</v>
      </c>
      <c r="C11" s="1" t="s">
        <v>56</v>
      </c>
      <c r="D11" s="1" t="s">
        <v>56</v>
      </c>
      <c r="E11" s="20"/>
      <c r="F11" s="20"/>
      <c r="G11" s="20"/>
      <c r="H11" s="20"/>
      <c r="I11" s="20"/>
      <c r="J11" s="1" t="s">
        <v>56</v>
      </c>
      <c r="K11" s="1" t="s">
        <v>56</v>
      </c>
      <c r="L11" s="20"/>
      <c r="M11" s="20"/>
      <c r="N11" s="20"/>
      <c r="O11" s="20"/>
      <c r="P11" s="20"/>
      <c r="Q11" s="1" t="s">
        <v>56</v>
      </c>
      <c r="R11" s="1" t="s">
        <v>56</v>
      </c>
      <c r="S11" s="20"/>
      <c r="T11" s="20"/>
      <c r="U11" s="20"/>
      <c r="V11" s="20"/>
      <c r="W11" s="20"/>
      <c r="X11" s="1" t="s">
        <v>56</v>
      </c>
      <c r="Y11" s="1" t="s">
        <v>56</v>
      </c>
      <c r="Z11" s="20"/>
      <c r="AA11" s="20"/>
      <c r="AB11" s="20"/>
      <c r="AC11" s="20"/>
      <c r="AD11" s="20"/>
      <c r="AE11" s="20"/>
      <c r="AF11" s="20"/>
      <c r="AG11" s="20"/>
      <c r="AH11" s="3">
        <f>COUNTA(Febrero[[#This Row],[1]:[29]])</f>
        <v>8</v>
      </c>
    </row>
    <row r="12" spans="1:34" ht="30" customHeight="1" x14ac:dyDescent="0.2">
      <c r="B12" s="2" t="s">
        <v>52</v>
      </c>
      <c r="C12" s="1" t="s">
        <v>56</v>
      </c>
      <c r="D12" s="1" t="s">
        <v>56</v>
      </c>
      <c r="E12" s="20"/>
      <c r="F12" s="20"/>
      <c r="G12" s="20"/>
      <c r="H12" s="20"/>
      <c r="I12" s="20"/>
      <c r="J12" s="1" t="s">
        <v>56</v>
      </c>
      <c r="K12" s="1" t="s">
        <v>56</v>
      </c>
      <c r="L12" s="20"/>
      <c r="M12" s="20"/>
      <c r="N12" s="20"/>
      <c r="O12" s="20"/>
      <c r="P12" s="20"/>
      <c r="Q12" s="1" t="s">
        <v>56</v>
      </c>
      <c r="R12" s="1" t="s">
        <v>56</v>
      </c>
      <c r="S12" s="20"/>
      <c r="T12" s="20"/>
      <c r="U12" s="20"/>
      <c r="V12" s="20"/>
      <c r="W12" s="20"/>
      <c r="X12" s="1" t="s">
        <v>56</v>
      </c>
      <c r="Y12" s="1" t="s">
        <v>56</v>
      </c>
      <c r="Z12" s="20"/>
      <c r="AA12" s="20"/>
      <c r="AB12" s="20"/>
      <c r="AC12" s="20"/>
      <c r="AD12" s="20"/>
      <c r="AE12" s="20"/>
      <c r="AF12" s="20"/>
      <c r="AG12" s="20"/>
      <c r="AH12" s="3">
        <f>COUNTA(Febrero[[#This Row],[1]:[29]])</f>
        <v>8</v>
      </c>
    </row>
    <row r="13" spans="1:34" ht="30" customHeight="1" x14ac:dyDescent="0.2">
      <c r="B13" s="2" t="s">
        <v>50</v>
      </c>
      <c r="C13" s="1" t="s">
        <v>56</v>
      </c>
      <c r="D13" s="1" t="s">
        <v>56</v>
      </c>
      <c r="E13" s="20"/>
      <c r="F13" s="20"/>
      <c r="G13" s="20"/>
      <c r="H13" s="20"/>
      <c r="I13" s="20"/>
      <c r="J13" s="1" t="s">
        <v>56</v>
      </c>
      <c r="K13" s="1" t="s">
        <v>56</v>
      </c>
      <c r="L13" s="20"/>
      <c r="M13" s="20"/>
      <c r="N13" s="20"/>
      <c r="O13" s="20"/>
      <c r="P13" s="20"/>
      <c r="Q13" s="1" t="s">
        <v>56</v>
      </c>
      <c r="R13" s="1" t="s">
        <v>56</v>
      </c>
      <c r="S13" s="20"/>
      <c r="T13" s="20"/>
      <c r="U13" s="20"/>
      <c r="V13" s="20"/>
      <c r="W13" s="20"/>
      <c r="X13" s="1" t="s">
        <v>56</v>
      </c>
      <c r="Y13" s="1" t="s">
        <v>56</v>
      </c>
      <c r="Z13" s="20"/>
      <c r="AA13" s="20"/>
      <c r="AB13" s="20"/>
      <c r="AC13" s="20"/>
      <c r="AD13" s="20"/>
      <c r="AE13" s="20"/>
      <c r="AF13" s="20"/>
      <c r="AG13" s="20"/>
      <c r="AH13" s="3">
        <f>COUNTA(Febrero[[#This Row],[1]:[29]])</f>
        <v>8</v>
      </c>
    </row>
    <row r="14" spans="1: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SUBTOTAL(109,Febrero[Total de días])</f>
        <v>40</v>
      </c>
    </row>
  </sheetData>
  <mergeCells count="6">
    <mergeCell ref="C6:AG6"/>
    <mergeCell ref="D4:F4"/>
    <mergeCell ref="H4:J4"/>
    <mergeCell ref="L4:N4"/>
    <mergeCell ref="P4:S4"/>
    <mergeCell ref="U4:X4"/>
  </mergeCells>
  <phoneticPr fontId="32" type="noConversion"/>
  <conditionalFormatting sqref="C9:D13">
    <cfRule type="expression" dxfId="276" priority="24" stopIfTrue="1">
      <formula>C9=KeyVacation</formula>
    </cfRule>
    <cfRule type="expression" dxfId="275" priority="23" stopIfTrue="1">
      <formula>C9=KeyPersonal</formula>
    </cfRule>
    <cfRule type="expression" dxfId="274" priority="22" stopIfTrue="1">
      <formula>C9=KeySick</formula>
    </cfRule>
    <cfRule type="expression" dxfId="273" priority="21" stopIfTrue="1">
      <formula>C9=KeyCustom1</formula>
    </cfRule>
    <cfRule type="expression" dxfId="272" priority="20" stopIfTrue="1">
      <formula>C9=KeyCustom2</formula>
    </cfRule>
    <cfRule type="expression" priority="19" stopIfTrue="1">
      <formula>C9=""</formula>
    </cfRule>
  </conditionalFormatting>
  <conditionalFormatting sqref="E9:I13 L9:P13 S9:W13 Z9:AG13">
    <cfRule type="expression" priority="27" stopIfTrue="1">
      <formula>E9=""</formula>
    </cfRule>
    <cfRule type="expression" dxfId="271" priority="28" stopIfTrue="1">
      <formula>E9=KeyCustom2</formula>
    </cfRule>
    <cfRule type="expression" dxfId="270" priority="30" stopIfTrue="1">
      <formula>E9=KeyCustom1</formula>
    </cfRule>
    <cfRule type="expression" dxfId="269" priority="31" stopIfTrue="1">
      <formula>E9=KeySick</formula>
    </cfRule>
    <cfRule type="expression" dxfId="268" priority="32" stopIfTrue="1">
      <formula>E9=KeyPersonal</formula>
    </cfRule>
    <cfRule type="expression" dxfId="267" priority="33" stopIfTrue="1">
      <formula>E9=KeyVacation</formula>
    </cfRule>
  </conditionalFormatting>
  <conditionalFormatting sqref="J9:K13">
    <cfRule type="expression" dxfId="266" priority="14" stopIfTrue="1">
      <formula>J9=KeyCustom2</formula>
    </cfRule>
    <cfRule type="expression" dxfId="265" priority="15" stopIfTrue="1">
      <formula>J9=KeyCustom1</formula>
    </cfRule>
    <cfRule type="expression" dxfId="264" priority="16" stopIfTrue="1">
      <formula>J9=KeySick</formula>
    </cfRule>
    <cfRule type="expression" dxfId="263" priority="17" stopIfTrue="1">
      <formula>J9=KeyPersonal</formula>
    </cfRule>
    <cfRule type="expression" dxfId="262" priority="18" stopIfTrue="1">
      <formula>J9=KeyVacation</formula>
    </cfRule>
    <cfRule type="expression" priority="13" stopIfTrue="1">
      <formula>J9=""</formula>
    </cfRule>
  </conditionalFormatting>
  <conditionalFormatting sqref="Q9:R13">
    <cfRule type="expression" dxfId="261" priority="8" stopIfTrue="1">
      <formula>Q9=KeyCustom2</formula>
    </cfRule>
    <cfRule type="expression" dxfId="260" priority="9" stopIfTrue="1">
      <formula>Q9=KeyCustom1</formula>
    </cfRule>
    <cfRule type="expression" dxfId="259" priority="10" stopIfTrue="1">
      <formula>Q9=KeySick</formula>
    </cfRule>
    <cfRule type="expression" dxfId="258" priority="11" stopIfTrue="1">
      <formula>Q9=KeyPersonal</formula>
    </cfRule>
    <cfRule type="expression" dxfId="257" priority="12" stopIfTrue="1">
      <formula>Q9=KeyVacation</formula>
    </cfRule>
    <cfRule type="expression" priority="7" stopIfTrue="1">
      <formula>Q9=""</formula>
    </cfRule>
  </conditionalFormatting>
  <conditionalFormatting sqref="X9:Y13">
    <cfRule type="expression" priority="1" stopIfTrue="1">
      <formula>X9=""</formula>
    </cfRule>
    <cfRule type="expression" dxfId="256" priority="6" stopIfTrue="1">
      <formula>X9=KeyVacation</formula>
    </cfRule>
    <cfRule type="expression" dxfId="255" priority="5" stopIfTrue="1">
      <formula>X9=KeyPersonal</formula>
    </cfRule>
    <cfRule type="expression" dxfId="254" priority="4" stopIfTrue="1">
      <formula>X9=KeySick</formula>
    </cfRule>
    <cfRule type="expression" dxfId="253" priority="3" stopIfTrue="1">
      <formula>X9=KeyCustom1</formula>
    </cfRule>
    <cfRule type="expression" dxfId="252" priority="2" stopIfTrue="1">
      <formula>X9=KeyCustom2</formula>
    </cfRule>
  </conditionalFormatting>
  <conditionalFormatting sqref="AE7">
    <cfRule type="expression" dxfId="251" priority="25">
      <formula>MONTH(DATE(CalendarYear,2,29))&lt;&gt;2</formula>
    </cfRule>
  </conditionalFormatting>
  <conditionalFormatting sqref="AE8">
    <cfRule type="expression" dxfId="250" priority="41">
      <formula>MONTH(DATE(CalendarYear,2,29))&lt;&gt;2</formula>
    </cfRule>
  </conditionalFormatting>
  <conditionalFormatting sqref="AH9:AH13">
    <cfRule type="dataBar" priority="178">
      <dataBar>
        <cfvo type="min"/>
        <cfvo type="formula" val="DATEDIF(DATE(CalendarYear,2,1),DATE(CalendarYear,3,1),&quot;d&quot;)"/>
        <color theme="4"/>
      </dataBar>
      <extLst>
        <ext xmlns:x14="http://schemas.microsoft.com/office/spreadsheetml/2009/9/main" uri="{B025F937-C7B1-47D3-B67F-A62EFF666E3E}">
          <x14:id>{94738C71-AB78-40C3-A818-D083AE35CC38}</x14:id>
        </ext>
      </extLst>
    </cfRule>
  </conditionalFormatting>
  <dataValidations xWindow="232" yWindow="365" count="15">
    <dataValidation allowBlank="1" showInputMessage="1" showErrorMessage="1" prompt="Año actualizado automáticamente en función del año introducido en la hoja de cálculo de enero" sqref="AH6" xr:uid="{00000000-0002-0000-0100-000000000000}"/>
    <dataValidation allowBlank="1" showInputMessage="1" showErrorMessage="1" prompt="Realice un seguimiento de las ausencias de febrero en esta hoja de cálculo." sqref="A1" xr:uid="{00000000-0002-0000-0100-000001000000}"/>
    <dataValidation allowBlank="1" showInputMessage="1" showErrorMessage="1" prompt="Calcula automáticamente el número total de días que un empleado ha estado ausente este mes en esta columna" sqref="AH8" xr:uid="{77246999-1DD3-7143-AA66-1A208D7E07C6}"/>
    <dataValidation allowBlank="1" showInputMessage="1" showErrorMessage="1" prompt="El título se actualiza automáticamente en esta celda. Para modificarlo, actualice la celda B1 en la hoja de cálculo de enero" sqref="B2" xr:uid="{00000000-0002-0000-0100-000003000000}"/>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100-000004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62180B0E-876E-40C5-8D4C-922E3C45FFD8}"/>
    <dataValidation allowBlank="1" showInputMessage="1" showErrorMessage="1" prompt="Escriba una etiqueta para describir la clave personalizada de la izquierda." sqref="U4 P4" xr:uid="{A5C29218-5E1F-4616-A072-9108D7DB4C0E}"/>
    <dataValidation allowBlank="1" showInputMessage="1" showErrorMessage="1" prompt="Escriba una letra y personalice la etiqueta de la derecha para agregar otro elemento clave." sqref="O4 T4" xr:uid="{4EAAF0A3-CA5A-4F62-85E3-942838DFCB2C}"/>
    <dataValidation allowBlank="1" showInputMessage="1" showErrorMessage="1" prompt="La letra “E” indica una ausencia por enfermedad" sqref="K4" xr:uid="{656606A5-C274-4EBE-985D-1B3E215652B6}"/>
    <dataValidation allowBlank="1" showInputMessage="1" showErrorMessage="1" prompt="La letra “P” indica una ausencia por motivos personales" sqref="G4" xr:uid="{E8083C7C-8E18-442B-B6CD-E3C2C2A7C2FB}"/>
    <dataValidation allowBlank="1" showInputMessage="1" showErrorMessage="1" prompt="La letra “V” indica una ausencia por vacaciones" sqref="C4" xr:uid="{9DF050E3-7745-41EF-B81F-A21AA13288A4}"/>
    <dataValidation allowBlank="1" showInputMessage="1" showErrorMessage="1" prompt="Los días del mes se generan automáticamente en esta fila. Especifique la ausencia del empleado y el tipo en cada columna para cada día del mes. En blanco significa que no hay ninguna ausencia" sqref="C8" xr:uid="{00000000-0002-0000-0100-00000D000000}"/>
    <dataValidation allowBlank="1" showInputMessage="1" showErrorMessage="1" prompt="Los días laborables en esta fila se actualizan automáticamente durante el mes según el año en AH4. Cada día del mes es una columna para indicar la ausencia del empleado y el tipo de ausencia" sqref="C7" xr:uid="{525721C9-B345-0C4C-8302-350AF692807F}"/>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CBD5C841-37A6-44A1-966A-085F8CA4553E}"/>
    <dataValidation allowBlank="1" showInputMessage="1" showErrorMessage="1" prompt="Esta celda contiene el título de la hoja de cálculo. " sqref="B1" xr:uid="{A826EA8F-637C-4057-AD57-2493D1C6F9F9}"/>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94738C71-AB78-40C3-A818-D083AE35CC38}">
            <x14:dataBar minLength="0" maxLength="100" gradient="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xWindow="232" yWindow="365" count="1">
        <x14:dataValidation type="list" allowBlank="1" showInputMessage="1" showErrorMessage="1" xr:uid="{00000000-0002-0000-0100-00000E000000}">
          <x14:formula1>
            <xm:f>'Integrantes del equipo'!$B$4:$B$8</xm:f>
          </x14:formula1>
          <xm:sqref>B9:B13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499984740745262"/>
    <pageSetUpPr fitToPage="1"/>
  </sheetPr>
  <dimension ref="B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26" t="s">
        <v>37</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TEXT(WEEKDAY(DATE(CalendarYear,3,1),1),"ddd")</f>
        <v>sáb</v>
      </c>
      <c r="D7" s="22" t="str">
        <f>TEXT(WEEKDAY(DATE(CalendarYear,3,2),1),"ddd")</f>
        <v>dom</v>
      </c>
      <c r="E7" s="22" t="str">
        <f>TEXT(WEEKDAY(DATE(CalendarYear,3,3),1),"ddd")</f>
        <v>lun</v>
      </c>
      <c r="F7" s="22" t="str">
        <f>TEXT(WEEKDAY(DATE(CalendarYear,3,4),1),"ddd")</f>
        <v>mar</v>
      </c>
      <c r="G7" s="22" t="str">
        <f>TEXT(WEEKDAY(DATE(CalendarYear,3,5),1),"ddd")</f>
        <v>mié</v>
      </c>
      <c r="H7" s="22" t="str">
        <f>TEXT(WEEKDAY(DATE(CalendarYear,3,6),1),"ddd")</f>
        <v>jue</v>
      </c>
      <c r="I7" s="22" t="str">
        <f>TEXT(WEEKDAY(DATE(CalendarYear,3,7),1),"ddd")</f>
        <v>vie</v>
      </c>
      <c r="J7" s="22" t="str">
        <f>TEXT(WEEKDAY(DATE(CalendarYear,3,8),1),"ddd")</f>
        <v>sáb</v>
      </c>
      <c r="K7" s="22" t="str">
        <f>TEXT(WEEKDAY(DATE(CalendarYear,3,9),1),"ddd")</f>
        <v>dom</v>
      </c>
      <c r="L7" s="22" t="str">
        <f>TEXT(WEEKDAY(DATE(CalendarYear,3,10),1),"ddd")</f>
        <v>lun</v>
      </c>
      <c r="M7" s="22" t="str">
        <f>TEXT(WEEKDAY(DATE(CalendarYear,3,11),1),"ddd")</f>
        <v>mar</v>
      </c>
      <c r="N7" s="22" t="str">
        <f>TEXT(WEEKDAY(DATE(CalendarYear,3,12),1),"ddd")</f>
        <v>mié</v>
      </c>
      <c r="O7" s="22" t="str">
        <f>TEXT(WEEKDAY(DATE(CalendarYear,3,13),1),"ddd")</f>
        <v>jue</v>
      </c>
      <c r="P7" s="22" t="str">
        <f>TEXT(WEEKDAY(DATE(CalendarYear,3,14),1),"ddd")</f>
        <v>vie</v>
      </c>
      <c r="Q7" s="22" t="str">
        <f>TEXT(WEEKDAY(DATE(CalendarYear,3,15),1),"ddd")</f>
        <v>sáb</v>
      </c>
      <c r="R7" s="22" t="str">
        <f>TEXT(WEEKDAY(DATE(CalendarYear,3,16),1),"ddd")</f>
        <v>dom</v>
      </c>
      <c r="S7" s="22" t="str">
        <f>TEXT(WEEKDAY(DATE(CalendarYear,3,17),1),"ddd")</f>
        <v>lun</v>
      </c>
      <c r="T7" s="22" t="str">
        <f>TEXT(WEEKDAY(DATE(CalendarYear,3,18),1),"ddd")</f>
        <v>mar</v>
      </c>
      <c r="U7" s="22" t="str">
        <f>TEXT(WEEKDAY(DATE(CalendarYear,3,19),1),"ddd")</f>
        <v>mié</v>
      </c>
      <c r="V7" s="22" t="str">
        <f>TEXT(WEEKDAY(DATE(CalendarYear,3,20),1),"ddd")</f>
        <v>jue</v>
      </c>
      <c r="W7" s="22" t="str">
        <f>TEXT(WEEKDAY(DATE(CalendarYear,3,21),1),"ddd")</f>
        <v>vie</v>
      </c>
      <c r="X7" s="22" t="str">
        <f>TEXT(WEEKDAY(DATE(CalendarYear,3,22),1),"ddd")</f>
        <v>sáb</v>
      </c>
      <c r="Y7" s="22" t="str">
        <f>TEXT(WEEKDAY(DATE(CalendarYear,3,23),1),"ddd")</f>
        <v>dom</v>
      </c>
      <c r="Z7" s="22" t="str">
        <f>TEXT(WEEKDAY(DATE(CalendarYear,3,24),1),"ddd")</f>
        <v>lun</v>
      </c>
      <c r="AA7" s="22" t="str">
        <f>TEXT(WEEKDAY(DATE(CalendarYear,3,25),1),"ddd")</f>
        <v>mar</v>
      </c>
      <c r="AB7" s="22" t="str">
        <f>TEXT(WEEKDAY(DATE(CalendarYear,3,26),1),"ddd")</f>
        <v>mié</v>
      </c>
      <c r="AC7" s="22" t="str">
        <f>TEXT(WEEKDAY(DATE(CalendarYear,3,27),1),"ddd")</f>
        <v>jue</v>
      </c>
      <c r="AD7" s="22" t="str">
        <f>TEXT(WEEKDAY(DATE(CalendarYear,3,28),1),"ddd")</f>
        <v>vie</v>
      </c>
      <c r="AE7" s="22" t="str">
        <f>TEXT(WEEKDAY(DATE(CalendarYear,3,29),1),"ddd")</f>
        <v>sáb</v>
      </c>
      <c r="AF7" s="22" t="str">
        <f>TEXT(WEEKDAY(DATE(CalendarYear,3,30),1),"ddd")</f>
        <v>dom</v>
      </c>
      <c r="AG7" s="22" t="str">
        <f>TEXT(WEEKDAY(DATE(CalendarYear,3,31),1),"ddd")</f>
        <v>lun</v>
      </c>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23" t="s">
        <v>33</v>
      </c>
    </row>
    <row r="9" spans="2:34" ht="30" customHeight="1" x14ac:dyDescent="0.2">
      <c r="B9" s="2" t="s">
        <v>48</v>
      </c>
      <c r="C9" s="20" t="s">
        <v>56</v>
      </c>
      <c r="D9" s="20" t="s">
        <v>56</v>
      </c>
      <c r="E9" s="1"/>
      <c r="F9" s="1"/>
      <c r="G9" s="1"/>
      <c r="H9" s="1"/>
      <c r="I9" s="1"/>
      <c r="J9" s="20" t="s">
        <v>56</v>
      </c>
      <c r="K9" s="20" t="s">
        <v>56</v>
      </c>
      <c r="L9" s="1"/>
      <c r="M9" s="1"/>
      <c r="N9" s="1"/>
      <c r="O9" s="1"/>
      <c r="P9" s="1"/>
      <c r="Q9" s="20" t="s">
        <v>56</v>
      </c>
      <c r="R9" s="20" t="s">
        <v>56</v>
      </c>
      <c r="S9" s="1"/>
      <c r="T9" s="1"/>
      <c r="U9" s="1"/>
      <c r="V9" s="1"/>
      <c r="W9" s="1"/>
      <c r="X9" s="20" t="s">
        <v>56</v>
      </c>
      <c r="Y9" s="20" t="s">
        <v>56</v>
      </c>
      <c r="Z9" s="1"/>
      <c r="AA9" s="1"/>
      <c r="AB9" s="1"/>
      <c r="AC9" s="1"/>
      <c r="AD9" s="1"/>
      <c r="AE9" s="20" t="s">
        <v>56</v>
      </c>
      <c r="AF9" s="20" t="s">
        <v>56</v>
      </c>
      <c r="AG9" s="1"/>
      <c r="AH9" s="3">
        <f>COUNTA(Marzo[[#This Row],[1]:[31]])</f>
        <v>10</v>
      </c>
    </row>
    <row r="10" spans="2:34" ht="30" customHeight="1" x14ac:dyDescent="0.2">
      <c r="B10" s="2" t="s">
        <v>49</v>
      </c>
      <c r="C10" s="1" t="s">
        <v>56</v>
      </c>
      <c r="D10" s="1" t="s">
        <v>56</v>
      </c>
      <c r="E10" s="1"/>
      <c r="F10" s="1"/>
      <c r="G10" s="1"/>
      <c r="H10" s="1"/>
      <c r="I10" s="1"/>
      <c r="J10" s="1" t="s">
        <v>56</v>
      </c>
      <c r="K10" s="1" t="s">
        <v>56</v>
      </c>
      <c r="L10" s="1"/>
      <c r="M10" s="1"/>
      <c r="N10" s="1"/>
      <c r="O10" s="1"/>
      <c r="P10" s="1"/>
      <c r="Q10" s="1" t="s">
        <v>56</v>
      </c>
      <c r="R10" s="1" t="s">
        <v>56</v>
      </c>
      <c r="S10" s="1"/>
      <c r="T10" s="1"/>
      <c r="U10" s="1"/>
      <c r="V10" s="1"/>
      <c r="W10" s="1"/>
      <c r="X10" s="1" t="s">
        <v>56</v>
      </c>
      <c r="Y10" s="1" t="s">
        <v>56</v>
      </c>
      <c r="Z10" s="1"/>
      <c r="AA10" s="1"/>
      <c r="AB10" s="1"/>
      <c r="AC10" s="1"/>
      <c r="AD10" s="1"/>
      <c r="AE10" s="1" t="s">
        <v>56</v>
      </c>
      <c r="AF10" s="1" t="s">
        <v>56</v>
      </c>
      <c r="AG10" s="1"/>
      <c r="AH10" s="3">
        <f>COUNTA(Marzo[[#This Row],[1]:[31]])</f>
        <v>10</v>
      </c>
    </row>
    <row r="11" spans="2:34" ht="30" customHeight="1" x14ac:dyDescent="0.2">
      <c r="B11" s="2" t="s">
        <v>51</v>
      </c>
      <c r="C11" s="1" t="s">
        <v>56</v>
      </c>
      <c r="D11" s="1" t="s">
        <v>56</v>
      </c>
      <c r="E11" s="1"/>
      <c r="F11" s="1"/>
      <c r="G11" s="1"/>
      <c r="H11" s="1"/>
      <c r="I11" s="1"/>
      <c r="J11" s="1" t="s">
        <v>56</v>
      </c>
      <c r="K11" s="1" t="s">
        <v>56</v>
      </c>
      <c r="L11" s="1"/>
      <c r="M11" s="1"/>
      <c r="N11" s="1"/>
      <c r="O11" s="1"/>
      <c r="P11" s="1"/>
      <c r="Q11" s="1" t="s">
        <v>56</v>
      </c>
      <c r="R11" s="1" t="s">
        <v>56</v>
      </c>
      <c r="S11" s="1"/>
      <c r="T11" s="1"/>
      <c r="U11" s="1"/>
      <c r="V11" s="1"/>
      <c r="W11" s="1"/>
      <c r="X11" s="1" t="s">
        <v>56</v>
      </c>
      <c r="Y11" s="1" t="s">
        <v>56</v>
      </c>
      <c r="Z11" s="1"/>
      <c r="AA11" s="1"/>
      <c r="AB11" s="1"/>
      <c r="AC11" s="1"/>
      <c r="AD11" s="1"/>
      <c r="AE11" s="1" t="s">
        <v>56</v>
      </c>
      <c r="AF11" s="1" t="s">
        <v>56</v>
      </c>
      <c r="AG11" s="1"/>
      <c r="AH11" s="3">
        <f>COUNTA(Marzo[[#This Row],[1]:[31]])</f>
        <v>10</v>
      </c>
    </row>
    <row r="12" spans="2:34" ht="30" customHeight="1" x14ac:dyDescent="0.2">
      <c r="B12" s="2" t="s">
        <v>52</v>
      </c>
      <c r="C12" s="1" t="s">
        <v>56</v>
      </c>
      <c r="D12" s="1" t="s">
        <v>56</v>
      </c>
      <c r="E12" s="1"/>
      <c r="F12" s="1"/>
      <c r="G12" s="1"/>
      <c r="H12" s="1"/>
      <c r="I12" s="1"/>
      <c r="J12" s="1" t="s">
        <v>56</v>
      </c>
      <c r="K12" s="1" t="s">
        <v>56</v>
      </c>
      <c r="L12" s="1"/>
      <c r="M12" s="1"/>
      <c r="N12" s="1"/>
      <c r="O12" s="1"/>
      <c r="P12" s="1"/>
      <c r="Q12" s="1" t="s">
        <v>56</v>
      </c>
      <c r="R12" s="1" t="s">
        <v>56</v>
      </c>
      <c r="S12" s="1"/>
      <c r="T12" s="1"/>
      <c r="U12" s="1"/>
      <c r="V12" s="1"/>
      <c r="W12" s="1"/>
      <c r="X12" s="1" t="s">
        <v>56</v>
      </c>
      <c r="Y12" s="1" t="s">
        <v>56</v>
      </c>
      <c r="Z12" s="1"/>
      <c r="AA12" s="1"/>
      <c r="AB12" s="1"/>
      <c r="AC12" s="1"/>
      <c r="AD12" s="1"/>
      <c r="AE12" s="1" t="s">
        <v>56</v>
      </c>
      <c r="AF12" s="1" t="s">
        <v>56</v>
      </c>
      <c r="AG12" s="1"/>
      <c r="AH12" s="3">
        <f>COUNTA(Marzo[[#This Row],[1]:[31]])</f>
        <v>10</v>
      </c>
    </row>
    <row r="13" spans="2:34" ht="30" customHeight="1" x14ac:dyDescent="0.2">
      <c r="B13" s="2" t="s">
        <v>50</v>
      </c>
      <c r="C13" s="1" t="s">
        <v>56</v>
      </c>
      <c r="D13" s="1" t="s">
        <v>56</v>
      </c>
      <c r="E13" s="1"/>
      <c r="F13" s="1"/>
      <c r="G13" s="1"/>
      <c r="H13" s="1"/>
      <c r="I13" s="1"/>
      <c r="J13" s="1" t="s">
        <v>56</v>
      </c>
      <c r="K13" s="1" t="s">
        <v>56</v>
      </c>
      <c r="L13" s="1"/>
      <c r="M13" s="1"/>
      <c r="N13" s="1"/>
      <c r="O13" s="1"/>
      <c r="P13" s="1"/>
      <c r="Q13" s="1" t="s">
        <v>56</v>
      </c>
      <c r="R13" s="1" t="s">
        <v>56</v>
      </c>
      <c r="S13" s="1"/>
      <c r="T13" s="1"/>
      <c r="U13" s="1"/>
      <c r="V13" s="1"/>
      <c r="W13" s="1"/>
      <c r="X13" s="1" t="s">
        <v>56</v>
      </c>
      <c r="Y13" s="1" t="s">
        <v>56</v>
      </c>
      <c r="Z13" s="1"/>
      <c r="AA13" s="1"/>
      <c r="AB13" s="1"/>
      <c r="AC13" s="1"/>
      <c r="AD13" s="1"/>
      <c r="AE13" s="1" t="s">
        <v>56</v>
      </c>
      <c r="AF13" s="1" t="s">
        <v>56</v>
      </c>
      <c r="AG13" s="1"/>
      <c r="AH13" s="3">
        <f>COUNTA(Marzo[[#This Row],[1]:[31]])</f>
        <v>10</v>
      </c>
    </row>
    <row r="14" spans="2: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SUBTOTAL(109,Marzo[Total de días])</f>
        <v>50</v>
      </c>
    </row>
  </sheetData>
  <mergeCells count="6">
    <mergeCell ref="C6:AG6"/>
    <mergeCell ref="D4:F4"/>
    <mergeCell ref="H4:J4"/>
    <mergeCell ref="L4:N4"/>
    <mergeCell ref="P4:S4"/>
    <mergeCell ref="U4:X4"/>
  </mergeCells>
  <phoneticPr fontId="32" type="noConversion"/>
  <conditionalFormatting sqref="C9:D13">
    <cfRule type="expression" dxfId="249" priority="30" stopIfTrue="1">
      <formula>C9=KeyVacation</formula>
    </cfRule>
    <cfRule type="expression" dxfId="248" priority="29" stopIfTrue="1">
      <formula>C9=KeyPersonal</formula>
    </cfRule>
    <cfRule type="expression" dxfId="247" priority="28" stopIfTrue="1">
      <formula>C9=KeySick</formula>
    </cfRule>
    <cfRule type="expression" dxfId="246" priority="27" stopIfTrue="1">
      <formula>C9=KeyCustom1</formula>
    </cfRule>
    <cfRule type="expression" dxfId="245" priority="26" stopIfTrue="1">
      <formula>C9=KeyCustom2</formula>
    </cfRule>
    <cfRule type="expression" priority="25" stopIfTrue="1">
      <formula>C9=""</formula>
    </cfRule>
  </conditionalFormatting>
  <conditionalFormatting sqref="E9:I13 L9:P13 S9:W13 Z9:AD13 AG9:AG13">
    <cfRule type="expression" priority="31" stopIfTrue="1">
      <formula>E9=""</formula>
    </cfRule>
    <cfRule type="expression" dxfId="244" priority="32" stopIfTrue="1">
      <formula>E9=KeyCustom2</formula>
    </cfRule>
    <cfRule type="expression" dxfId="243" priority="33" stopIfTrue="1">
      <formula>E9=KeyCustom1</formula>
    </cfRule>
    <cfRule type="expression" dxfId="242" priority="34" stopIfTrue="1">
      <formula>E9=KeySick</formula>
    </cfRule>
    <cfRule type="expression" dxfId="241" priority="35" stopIfTrue="1">
      <formula>E9=KeyPersonal</formula>
    </cfRule>
    <cfRule type="expression" dxfId="240" priority="36" stopIfTrue="1">
      <formula>E9=KeyVacation</formula>
    </cfRule>
  </conditionalFormatting>
  <conditionalFormatting sqref="J9:K13">
    <cfRule type="expression" priority="19" stopIfTrue="1">
      <formula>J9=""</formula>
    </cfRule>
    <cfRule type="expression" dxfId="239" priority="20" stopIfTrue="1">
      <formula>J9=KeyCustom2</formula>
    </cfRule>
    <cfRule type="expression" dxfId="238" priority="21" stopIfTrue="1">
      <formula>J9=KeyCustom1</formula>
    </cfRule>
    <cfRule type="expression" dxfId="237" priority="22" stopIfTrue="1">
      <formula>J9=KeySick</formula>
    </cfRule>
    <cfRule type="expression" dxfId="236" priority="23" stopIfTrue="1">
      <formula>J9=KeyPersonal</formula>
    </cfRule>
    <cfRule type="expression" dxfId="235" priority="24" stopIfTrue="1">
      <formula>J9=KeyVacation</formula>
    </cfRule>
  </conditionalFormatting>
  <conditionalFormatting sqref="Q9:R13">
    <cfRule type="expression" priority="13" stopIfTrue="1">
      <formula>Q9=""</formula>
    </cfRule>
    <cfRule type="expression" dxfId="234" priority="14" stopIfTrue="1">
      <formula>Q9=KeyCustom2</formula>
    </cfRule>
    <cfRule type="expression" dxfId="233" priority="15" stopIfTrue="1">
      <formula>Q9=KeyCustom1</formula>
    </cfRule>
    <cfRule type="expression" dxfId="232" priority="17" stopIfTrue="1">
      <formula>Q9=KeyPersonal</formula>
    </cfRule>
    <cfRule type="expression" dxfId="231" priority="18" stopIfTrue="1">
      <formula>Q9=KeyVacation</formula>
    </cfRule>
    <cfRule type="expression" dxfId="230" priority="16" stopIfTrue="1">
      <formula>Q9=KeySick</formula>
    </cfRule>
  </conditionalFormatting>
  <conditionalFormatting sqref="X9:Y13">
    <cfRule type="expression" dxfId="229" priority="8" stopIfTrue="1">
      <formula>X9=KeyCustom2</formula>
    </cfRule>
    <cfRule type="expression" dxfId="228" priority="9" stopIfTrue="1">
      <formula>X9=KeyCustom1</formula>
    </cfRule>
    <cfRule type="expression" dxfId="227" priority="10" stopIfTrue="1">
      <formula>X9=KeySick</formula>
    </cfRule>
    <cfRule type="expression" dxfId="226" priority="11" stopIfTrue="1">
      <formula>X9=KeyPersonal</formula>
    </cfRule>
    <cfRule type="expression" dxfId="225" priority="12" stopIfTrue="1">
      <formula>X9=KeyVacation</formula>
    </cfRule>
    <cfRule type="expression" priority="7" stopIfTrue="1">
      <formula>X9=""</formula>
    </cfRule>
  </conditionalFormatting>
  <conditionalFormatting sqref="AE9:AF13">
    <cfRule type="expression" priority="1" stopIfTrue="1">
      <formula>AE9=""</formula>
    </cfRule>
    <cfRule type="expression" dxfId="224" priority="6" stopIfTrue="1">
      <formula>AE9=KeyVacation</formula>
    </cfRule>
    <cfRule type="expression" dxfId="223" priority="5" stopIfTrue="1">
      <formula>AE9=KeyPersonal</formula>
    </cfRule>
    <cfRule type="expression" dxfId="222" priority="4" stopIfTrue="1">
      <formula>AE9=KeySick</formula>
    </cfRule>
    <cfRule type="expression" dxfId="221" priority="3" stopIfTrue="1">
      <formula>AE9=KeyCustom1</formula>
    </cfRule>
    <cfRule type="expression" dxfId="220" priority="2" stopIfTrue="1">
      <formula>AE9=KeyCustom2</formula>
    </cfRule>
  </conditionalFormatting>
  <conditionalFormatting sqref="AH9:AH13">
    <cfRule type="dataBar" priority="37">
      <dataBar>
        <cfvo type="min"/>
        <cfvo type="formula" val="DATEDIF(DATE(CalendarYear,2,1),DATE(CalendarYear,3,1),&quot;d&quot;)"/>
        <color theme="2" tint="-0.249977111117893"/>
      </dataBar>
      <extLst>
        <ext xmlns:x14="http://schemas.microsoft.com/office/spreadsheetml/2009/9/main" uri="{B025F937-C7B1-47D3-B67F-A62EFF666E3E}">
          <x14:id>{7C2B6C3E-666E-4369-8C57-FD32A7D03A3C}</x14:id>
        </ext>
      </extLst>
    </cfRule>
  </conditionalFormatting>
  <dataValidations count="15">
    <dataValidation allowBlank="1" showInputMessage="1" showErrorMessage="1" prompt="Los días del mes se generan automáticamente en esta fila. Especifique la ausencia del empleado y el tipo en cada columna para cada día del mes. En blanco significa que no hay ninguna ausencia" sqref="C8" xr:uid="{00000000-0002-0000-0200-000000000000}"/>
    <dataValidation allowBlank="1" showInputMessage="1" showErrorMessage="1" prompt="Escriba una etiqueta para describir la clave personalizada de la izquierda." sqref="U4 P4" xr:uid="{C9A5E0E4-436C-4C9F-88CC-47E1462C976A}"/>
    <dataValidation allowBlank="1" showInputMessage="1" showErrorMessage="1" prompt="Escriba una letra y personalice la etiqueta de la derecha para agregar otro elemento clave." sqref="O4 T4" xr:uid="{10F4E78B-E626-4FD8-95E1-016688A5F764}"/>
    <dataValidation allowBlank="1" showInputMessage="1" showErrorMessage="1" prompt="La letra “E” indica una ausencia por enfermedad" sqref="K4" xr:uid="{D4482F1A-629A-4FF1-99C4-4B75276F5363}"/>
    <dataValidation allowBlank="1" showInputMessage="1" showErrorMessage="1" prompt="La letra “P” indica una ausencia por motivos personales" sqref="G4" xr:uid="{A21343D8-EA57-4158-A98C-F54BCFCFBA78}"/>
    <dataValidation allowBlank="1" showInputMessage="1" showErrorMessage="1" prompt="La letra “V” indica una ausencia por vacaciones" sqref="C4" xr:uid="{88231822-BBA7-4257-84CD-871E2183434A}"/>
    <dataValidation allowBlank="1" showInputMessage="1" showErrorMessage="1" prompt="El título se actualiza automáticamente en esta celda. Para modificarlo, actualice la celda B1 en la hoja de cálculo de enero" sqref="B2" xr:uid="{00000000-0002-0000-0200-000009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5F115BC4-7D44-4826-ADD2-4CDC63D1A73A}"/>
    <dataValidation allowBlank="1" showInputMessage="1" showErrorMessage="1" prompt="Realice un seguimiento de las ausencias de marzo en esta hoja de cálculo." sqref="A1" xr:uid="{00000000-0002-0000-0200-00000B000000}"/>
    <dataValidation allowBlank="1" showInputMessage="1" showErrorMessage="1" prompt="Cálculo automático del número total de días que un empleado ha estado ausente este mes en esta columna" sqref="AH8" xr:uid="{70BD9EEE-E1FD-D147-919D-901970D7AADE}"/>
    <dataValidation allowBlank="1" showInputMessage="1" showErrorMessage="1" prompt="Año actualizado automáticamente en función del año introducido en la hoja de cálculo de enero" sqref="AH6" xr:uid="{A06F72EE-346E-CD4A-B706-B1500A526D8A}"/>
    <dataValidation allowBlank="1" showInputMessage="1" showErrorMessage="1" prompt="Los días laborables en esta fila se actualizan automáticamente durante el mes según el año en AH4. Cada día del mes es una columna para indicar la ausencia del empleado y el tipo de ausencia" sqref="C7" xr:uid="{02C7B989-E77F-4A4F-82FD-F03860560B2B}"/>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200-000002000000}"/>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270743A2-0E3E-48AD-B459-0EB66777926A}"/>
    <dataValidation allowBlank="1" showInputMessage="1" showErrorMessage="1" prompt="Esta celda contiene el título de la hoja de cálculo. " sqref="B1" xr:uid="{7160936B-7CDC-40A4-9AD2-A62542AC2400}"/>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7C2B6C3E-666E-4369-8C57-FD32A7D03A3C}">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E000000}">
          <x14:formula1>
            <xm:f>'Integrantes del equipo'!$B$4:$B$8</xm:f>
          </x14:formula1>
          <xm:sqref>B9:B13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pageSetUpPr fitToPage="1"/>
  </sheetPr>
  <dimension ref="B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27" t="s">
        <v>38</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TEXT(WEEKDAY(DATE(CalendarYear,4,1),1),"ddd")</f>
        <v>mar</v>
      </c>
      <c r="D7" s="22" t="str">
        <f>TEXT(WEEKDAY(DATE(CalendarYear,4,2),1),"ddd")</f>
        <v>mié</v>
      </c>
      <c r="E7" s="22" t="str">
        <f>TEXT(WEEKDAY(DATE(CalendarYear,4,3),1),"ddd")</f>
        <v>jue</v>
      </c>
      <c r="F7" s="22" t="str">
        <f>TEXT(WEEKDAY(DATE(CalendarYear,4,4),1),"ddd")</f>
        <v>vie</v>
      </c>
      <c r="G7" s="22" t="str">
        <f>TEXT(WEEKDAY(DATE(CalendarYear,4,5),1),"ddd")</f>
        <v>sáb</v>
      </c>
      <c r="H7" s="22" t="str">
        <f>TEXT(WEEKDAY(DATE(CalendarYear,4,6),1),"ddd")</f>
        <v>dom</v>
      </c>
      <c r="I7" s="22" t="str">
        <f>TEXT(WEEKDAY(DATE(CalendarYear,4,7),1),"ddd")</f>
        <v>lun</v>
      </c>
      <c r="J7" s="22" t="str">
        <f>TEXT(WEEKDAY(DATE(CalendarYear,4,8),1),"ddd")</f>
        <v>mar</v>
      </c>
      <c r="K7" s="22" t="str">
        <f>TEXT(WEEKDAY(DATE(CalendarYear,4,9),1),"ddd")</f>
        <v>mié</v>
      </c>
      <c r="L7" s="22" t="str">
        <f>TEXT(WEEKDAY(DATE(CalendarYear,4,10),1),"ddd")</f>
        <v>jue</v>
      </c>
      <c r="M7" s="22" t="str">
        <f>TEXT(WEEKDAY(DATE(CalendarYear,4,11),1),"ddd")</f>
        <v>vie</v>
      </c>
      <c r="N7" s="22" t="str">
        <f>TEXT(WEEKDAY(DATE(CalendarYear,4,12),1),"ddd")</f>
        <v>sáb</v>
      </c>
      <c r="O7" s="22" t="str">
        <f>TEXT(WEEKDAY(DATE(CalendarYear,4,13),1),"ddd")</f>
        <v>dom</v>
      </c>
      <c r="P7" s="22" t="str">
        <f>TEXT(WEEKDAY(DATE(CalendarYear,4,14),1),"ddd")</f>
        <v>lun</v>
      </c>
      <c r="Q7" s="22" t="str">
        <f>TEXT(WEEKDAY(DATE(CalendarYear,4,15),1),"ddd")</f>
        <v>mar</v>
      </c>
      <c r="R7" s="22" t="str">
        <f>TEXT(WEEKDAY(DATE(CalendarYear,4,16),1),"ddd")</f>
        <v>mié</v>
      </c>
      <c r="S7" s="22" t="str">
        <f>TEXT(WEEKDAY(DATE(CalendarYear,4,17),1),"ddd")</f>
        <v>jue</v>
      </c>
      <c r="T7" s="22" t="str">
        <f>TEXT(WEEKDAY(DATE(CalendarYear,4,18),1),"ddd")</f>
        <v>vie</v>
      </c>
      <c r="U7" s="22" t="str">
        <f>TEXT(WEEKDAY(DATE(CalendarYear,4,19),1),"ddd")</f>
        <v>sáb</v>
      </c>
      <c r="V7" s="22" t="str">
        <f>TEXT(WEEKDAY(DATE(CalendarYear,4,20),1),"ddd")</f>
        <v>dom</v>
      </c>
      <c r="W7" s="22" t="str">
        <f>TEXT(WEEKDAY(DATE(CalendarYear,4,21),1),"ddd")</f>
        <v>lun</v>
      </c>
      <c r="X7" s="22" t="str">
        <f>TEXT(WEEKDAY(DATE(CalendarYear,4,22),1),"ddd")</f>
        <v>mar</v>
      </c>
      <c r="Y7" s="22" t="str">
        <f>TEXT(WEEKDAY(DATE(CalendarYear,4,23),1),"ddd")</f>
        <v>mié</v>
      </c>
      <c r="Z7" s="22" t="str">
        <f>TEXT(WEEKDAY(DATE(CalendarYear,4,24),1),"ddd")</f>
        <v>jue</v>
      </c>
      <c r="AA7" s="22" t="str">
        <f>TEXT(WEEKDAY(DATE(CalendarYear,4,25),1),"ddd")</f>
        <v>vie</v>
      </c>
      <c r="AB7" s="22" t="str">
        <f>TEXT(WEEKDAY(DATE(CalendarYear,4,26),1),"ddd")</f>
        <v>sáb</v>
      </c>
      <c r="AC7" s="22" t="str">
        <f>TEXT(WEEKDAY(DATE(CalendarYear,4,27),1),"ddd")</f>
        <v>dom</v>
      </c>
      <c r="AD7" s="22" t="str">
        <f>TEXT(WEEKDAY(DATE(CalendarYear,4,28),1),"ddd")</f>
        <v>lun</v>
      </c>
      <c r="AE7" s="22" t="str">
        <f>TEXT(WEEKDAY(DATE(CalendarYear,4,29),1),"ddd")</f>
        <v>mar</v>
      </c>
      <c r="AF7" s="22" t="str">
        <f>TEXT(WEEKDAY(DATE(CalendarYear,4,30),1),"ddd")</f>
        <v>mié</v>
      </c>
      <c r="AG7" s="22"/>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35</v>
      </c>
      <c r="AH8" s="23" t="s">
        <v>33</v>
      </c>
    </row>
    <row r="9" spans="2:34" ht="30" customHeight="1" x14ac:dyDescent="0.2">
      <c r="B9" s="2" t="s">
        <v>48</v>
      </c>
      <c r="C9" s="1"/>
      <c r="D9" s="1"/>
      <c r="E9" s="1"/>
      <c r="F9" s="1"/>
      <c r="G9" s="1" t="s">
        <v>56</v>
      </c>
      <c r="H9" s="1" t="s">
        <v>56</v>
      </c>
      <c r="I9" s="1"/>
      <c r="J9" s="1"/>
      <c r="K9" s="1"/>
      <c r="L9" s="1"/>
      <c r="M9" s="1"/>
      <c r="N9" s="1" t="s">
        <v>56</v>
      </c>
      <c r="O9" s="1" t="s">
        <v>56</v>
      </c>
      <c r="P9" s="1"/>
      <c r="Q9" s="1"/>
      <c r="R9" s="1"/>
      <c r="S9" s="1"/>
      <c r="T9" s="1"/>
      <c r="U9" s="1" t="s">
        <v>56</v>
      </c>
      <c r="V9" s="1" t="s">
        <v>56</v>
      </c>
      <c r="W9" s="1"/>
      <c r="X9" s="1"/>
      <c r="Y9" s="1"/>
      <c r="Z9" s="1"/>
      <c r="AA9" s="1"/>
      <c r="AB9" s="1" t="s">
        <v>56</v>
      </c>
      <c r="AC9" s="1" t="s">
        <v>56</v>
      </c>
      <c r="AD9" s="1"/>
      <c r="AE9" s="1"/>
      <c r="AF9" s="1"/>
      <c r="AG9" s="1"/>
      <c r="AH9" s="3">
        <f>COUNTA(March5[[#This Row],[1]:[ ]])</f>
        <v>8</v>
      </c>
    </row>
    <row r="10" spans="2:34" ht="30" customHeight="1" x14ac:dyDescent="0.2">
      <c r="B10" s="2" t="s">
        <v>49</v>
      </c>
      <c r="C10" s="1"/>
      <c r="D10" s="1"/>
      <c r="E10" s="1"/>
      <c r="F10" s="1"/>
      <c r="G10" s="1" t="s">
        <v>56</v>
      </c>
      <c r="H10" s="1" t="s">
        <v>56</v>
      </c>
      <c r="I10" s="1"/>
      <c r="J10" s="1"/>
      <c r="K10" s="1"/>
      <c r="L10" s="1"/>
      <c r="M10" s="1"/>
      <c r="N10" s="1" t="s">
        <v>56</v>
      </c>
      <c r="O10" s="1" t="s">
        <v>56</v>
      </c>
      <c r="P10" s="1"/>
      <c r="Q10" s="1"/>
      <c r="R10" s="1"/>
      <c r="S10" s="1"/>
      <c r="T10" s="1"/>
      <c r="U10" s="1" t="s">
        <v>56</v>
      </c>
      <c r="V10" s="1" t="s">
        <v>56</v>
      </c>
      <c r="W10" s="1"/>
      <c r="X10" s="1"/>
      <c r="Y10" s="1"/>
      <c r="Z10" s="1"/>
      <c r="AA10" s="1"/>
      <c r="AB10" s="1" t="s">
        <v>56</v>
      </c>
      <c r="AC10" s="1" t="s">
        <v>56</v>
      </c>
      <c r="AD10" s="1"/>
      <c r="AE10" s="1"/>
      <c r="AF10" s="1"/>
      <c r="AG10" s="1"/>
      <c r="AH10" s="3">
        <f>COUNTA(March5[[#This Row],[1]:[ ]])</f>
        <v>8</v>
      </c>
    </row>
    <row r="11" spans="2:34" ht="30" customHeight="1" x14ac:dyDescent="0.2">
      <c r="B11" s="2" t="s">
        <v>51</v>
      </c>
      <c r="C11" s="1"/>
      <c r="D11" s="1"/>
      <c r="E11" s="1"/>
      <c r="F11" s="1"/>
      <c r="G11" s="1" t="s">
        <v>56</v>
      </c>
      <c r="H11" s="1" t="s">
        <v>56</v>
      </c>
      <c r="I11" s="1"/>
      <c r="J11" s="1"/>
      <c r="K11" s="1"/>
      <c r="L11" s="1"/>
      <c r="M11" s="1"/>
      <c r="N11" s="1" t="s">
        <v>56</v>
      </c>
      <c r="O11" s="1" t="s">
        <v>56</v>
      </c>
      <c r="P11" s="1"/>
      <c r="Q11" s="1"/>
      <c r="R11" s="1"/>
      <c r="S11" s="1"/>
      <c r="T11" s="1"/>
      <c r="U11" s="1" t="s">
        <v>56</v>
      </c>
      <c r="V11" s="1" t="s">
        <v>56</v>
      </c>
      <c r="W11" s="1"/>
      <c r="X11" s="1"/>
      <c r="Y11" s="1"/>
      <c r="Z11" s="1"/>
      <c r="AA11" s="1"/>
      <c r="AB11" s="1" t="s">
        <v>56</v>
      </c>
      <c r="AC11" s="1" t="s">
        <v>56</v>
      </c>
      <c r="AD11" s="1"/>
      <c r="AE11" s="1"/>
      <c r="AF11" s="1"/>
      <c r="AG11" s="1"/>
      <c r="AH11" s="3">
        <f>COUNTA(March5[[#This Row],[1]:[ ]])</f>
        <v>8</v>
      </c>
    </row>
    <row r="12" spans="2:34" ht="30" customHeight="1" x14ac:dyDescent="0.2">
      <c r="B12" s="2" t="s">
        <v>52</v>
      </c>
      <c r="C12" s="1"/>
      <c r="D12" s="1"/>
      <c r="E12" s="1"/>
      <c r="F12" s="1"/>
      <c r="G12" s="1" t="s">
        <v>56</v>
      </c>
      <c r="H12" s="1" t="s">
        <v>56</v>
      </c>
      <c r="I12" s="1"/>
      <c r="J12" s="1"/>
      <c r="K12" s="1"/>
      <c r="L12" s="1"/>
      <c r="M12" s="1"/>
      <c r="N12" s="1" t="s">
        <v>56</v>
      </c>
      <c r="O12" s="1" t="s">
        <v>56</v>
      </c>
      <c r="P12" s="1"/>
      <c r="Q12" s="1"/>
      <c r="R12" s="1"/>
      <c r="S12" s="1"/>
      <c r="T12" s="1"/>
      <c r="U12" s="1" t="s">
        <v>56</v>
      </c>
      <c r="V12" s="1" t="s">
        <v>56</v>
      </c>
      <c r="W12" s="1"/>
      <c r="X12" s="1"/>
      <c r="Y12" s="1"/>
      <c r="Z12" s="1"/>
      <c r="AA12" s="1"/>
      <c r="AB12" s="1" t="s">
        <v>56</v>
      </c>
      <c r="AC12" s="1" t="s">
        <v>56</v>
      </c>
      <c r="AD12" s="1"/>
      <c r="AE12" s="1"/>
      <c r="AF12" s="1"/>
      <c r="AG12" s="1"/>
      <c r="AH12" s="3">
        <f>COUNTA(March5[[#This Row],[1]:[ ]])</f>
        <v>8</v>
      </c>
    </row>
    <row r="13" spans="2:34" ht="30" customHeight="1" x14ac:dyDescent="0.2">
      <c r="B13" s="2" t="s">
        <v>50</v>
      </c>
      <c r="C13" s="1"/>
      <c r="D13" s="1"/>
      <c r="E13" s="1"/>
      <c r="F13" s="1"/>
      <c r="G13" s="1" t="s">
        <v>56</v>
      </c>
      <c r="H13" s="1" t="s">
        <v>56</v>
      </c>
      <c r="I13" s="1"/>
      <c r="J13" s="1"/>
      <c r="K13" s="1"/>
      <c r="L13" s="1"/>
      <c r="M13" s="1"/>
      <c r="N13" s="1" t="s">
        <v>56</v>
      </c>
      <c r="O13" s="1" t="s">
        <v>56</v>
      </c>
      <c r="P13" s="1"/>
      <c r="Q13" s="1"/>
      <c r="R13" s="1"/>
      <c r="S13" s="1"/>
      <c r="T13" s="1"/>
      <c r="U13" s="1" t="s">
        <v>56</v>
      </c>
      <c r="V13" s="1" t="s">
        <v>56</v>
      </c>
      <c r="W13" s="1"/>
      <c r="X13" s="1"/>
      <c r="Y13" s="1"/>
      <c r="Z13" s="1"/>
      <c r="AA13" s="1"/>
      <c r="AB13" s="1" t="s">
        <v>56</v>
      </c>
      <c r="AC13" s="1" t="s">
        <v>56</v>
      </c>
      <c r="AD13" s="1"/>
      <c r="AE13" s="1"/>
      <c r="AF13" s="1"/>
      <c r="AG13" s="1"/>
      <c r="AH13" s="3">
        <f>COUNTA(March5[[#This Row],[1]:[ ]])</f>
        <v>8</v>
      </c>
    </row>
    <row r="14" spans="2:34" ht="30" customHeight="1" x14ac:dyDescent="0.2">
      <c r="B14" s="33" t="s">
        <v>59</v>
      </c>
      <c r="C14" s="33"/>
      <c r="D14" s="33"/>
      <c r="E14" s="33"/>
      <c r="F14" s="33"/>
      <c r="G14" s="33"/>
      <c r="H14" s="33"/>
      <c r="I14" s="33"/>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4">
        <f>SUBTOTAL(109,March5[Total de días])</f>
        <v>40</v>
      </c>
    </row>
  </sheetData>
  <mergeCells count="6">
    <mergeCell ref="C6:AG6"/>
    <mergeCell ref="D4:F4"/>
    <mergeCell ref="H4:J4"/>
    <mergeCell ref="L4:N4"/>
    <mergeCell ref="P4:S4"/>
    <mergeCell ref="U4:X4"/>
  </mergeCells>
  <phoneticPr fontId="7" type="noConversion"/>
  <conditionalFormatting sqref="C9:F13 I9:M13 P9:T13 W9:AA13 AD9:AG13">
    <cfRule type="expression" priority="25" stopIfTrue="1">
      <formula>C9=""</formula>
    </cfRule>
    <cfRule type="expression" dxfId="219" priority="30" stopIfTrue="1">
      <formula>C9=KeyVacation</formula>
    </cfRule>
    <cfRule type="expression" dxfId="218" priority="29" stopIfTrue="1">
      <formula>C9=KeyPersonal</formula>
    </cfRule>
    <cfRule type="expression" dxfId="217" priority="28" stopIfTrue="1">
      <formula>C9=KeySick</formula>
    </cfRule>
    <cfRule type="expression" dxfId="216" priority="27" stopIfTrue="1">
      <formula>C9=KeyCustom1</formula>
    </cfRule>
    <cfRule type="expression" dxfId="215" priority="26" stopIfTrue="1">
      <formula>C9=KeyCustom2</formula>
    </cfRule>
  </conditionalFormatting>
  <conditionalFormatting sqref="G9:H13">
    <cfRule type="expression" dxfId="214" priority="24" stopIfTrue="1">
      <formula>G9=KeyVacation</formula>
    </cfRule>
    <cfRule type="expression" priority="19" stopIfTrue="1">
      <formula>G9=""</formula>
    </cfRule>
    <cfRule type="expression" dxfId="213" priority="20" stopIfTrue="1">
      <formula>G9=KeyCustom2</formula>
    </cfRule>
    <cfRule type="expression" dxfId="212" priority="21" stopIfTrue="1">
      <formula>G9=KeyCustom1</formula>
    </cfRule>
    <cfRule type="expression" dxfId="211" priority="22" stopIfTrue="1">
      <formula>G9=KeySick</formula>
    </cfRule>
    <cfRule type="expression" dxfId="210" priority="23" stopIfTrue="1">
      <formula>G9=KeyPersonal</formula>
    </cfRule>
  </conditionalFormatting>
  <conditionalFormatting sqref="N9:O13">
    <cfRule type="expression" dxfId="209" priority="14" stopIfTrue="1">
      <formula>N9=KeyCustom2</formula>
    </cfRule>
    <cfRule type="expression" dxfId="208" priority="15" stopIfTrue="1">
      <formula>N9=KeyCustom1</formula>
    </cfRule>
    <cfRule type="expression" dxfId="207" priority="16" stopIfTrue="1">
      <formula>N9=KeySick</formula>
    </cfRule>
    <cfRule type="expression" dxfId="206" priority="17" stopIfTrue="1">
      <formula>N9=KeyPersonal</formula>
    </cfRule>
    <cfRule type="expression" dxfId="205" priority="18" stopIfTrue="1">
      <formula>N9=KeyVacation</formula>
    </cfRule>
    <cfRule type="expression" priority="13" stopIfTrue="1">
      <formula>N9=""</formula>
    </cfRule>
  </conditionalFormatting>
  <conditionalFormatting sqref="U9:V13">
    <cfRule type="expression" dxfId="204" priority="8" stopIfTrue="1">
      <formula>U9=KeyCustom2</formula>
    </cfRule>
    <cfRule type="expression" dxfId="203" priority="9" stopIfTrue="1">
      <formula>U9=KeyCustom1</formula>
    </cfRule>
    <cfRule type="expression" dxfId="202" priority="10" stopIfTrue="1">
      <formula>U9=KeySick</formula>
    </cfRule>
    <cfRule type="expression" dxfId="201" priority="11" stopIfTrue="1">
      <formula>U9=KeyPersonal</formula>
    </cfRule>
    <cfRule type="expression" dxfId="200" priority="12" stopIfTrue="1">
      <formula>U9=KeyVacation</formula>
    </cfRule>
    <cfRule type="expression" priority="7" stopIfTrue="1">
      <formula>U9=""</formula>
    </cfRule>
  </conditionalFormatting>
  <conditionalFormatting sqref="AB9:AC13">
    <cfRule type="expression" priority="1" stopIfTrue="1">
      <formula>AB9=""</formula>
    </cfRule>
    <cfRule type="expression" dxfId="199" priority="6" stopIfTrue="1">
      <formula>AB9=KeyVacation</formula>
    </cfRule>
    <cfRule type="expression" dxfId="198" priority="5" stopIfTrue="1">
      <formula>AB9=KeyPersonal</formula>
    </cfRule>
    <cfRule type="expression" dxfId="197" priority="4" stopIfTrue="1">
      <formula>AB9=KeySick</formula>
    </cfRule>
    <cfRule type="expression" dxfId="196" priority="3" stopIfTrue="1">
      <formula>AB9=KeyCustom1</formula>
    </cfRule>
    <cfRule type="expression" dxfId="195" priority="2" stopIfTrue="1">
      <formula>AB9=KeyCustom2</formula>
    </cfRule>
  </conditionalFormatting>
  <conditionalFormatting sqref="AH9:AH13">
    <cfRule type="dataBar" priority="31">
      <dataBar>
        <cfvo type="min"/>
        <cfvo type="formula" val="DATEDIF(DATE(CalendarYear,2,1),DATE(CalendarYear,3,1),&quot;d&quot;)"/>
        <color theme="2" tint="-0.249977111117893"/>
      </dataBar>
      <extLst>
        <ext xmlns:x14="http://schemas.microsoft.com/office/spreadsheetml/2009/9/main" uri="{B025F937-C7B1-47D3-B67F-A62EFF666E3E}">
          <x14:id>{C6C51CE4-E5A5-6548-B677-75BFC57A1AE7}</x14:id>
        </ext>
      </extLst>
    </cfRule>
  </conditionalFormatting>
  <dataValidations count="15">
    <dataValidation allowBlank="1" showInputMessage="1" showErrorMessage="1" prompt="Año actualizado de forma automática en función del año introducido en la hoja de cálculo de enero" sqref="AH6" xr:uid="{D534D450-4040-4C4B-ACFB-E0820ABC2CFC}"/>
    <dataValidation allowBlank="1" showInputMessage="1" showErrorMessage="1" prompt="Calcula automáticamente el número total de días que un empleado estuvo ausente este mes en esta columna" sqref="AH8" xr:uid="{DC341019-F88D-494A-80A9-FE7E975A2861}"/>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6F30E3FC-B59C-443A-ACF4-FA1E7D4F1286}"/>
    <dataValidation allowBlank="1" showInputMessage="1" showErrorMessage="1" prompt="El título se actualiza automáticamente en esta celda. Para modificarlo, actualice la celda B1 en la hoja de cálculo de enero" sqref="B2" xr:uid="{FC807180-F3E3-414D-9702-8FBC5210B550}"/>
    <dataValidation allowBlank="1" showInputMessage="1" showErrorMessage="1" prompt="La letra “V” indica una ausencia por vacaciones" sqref="C4" xr:uid="{A286DFF6-D691-4AC0-A38C-3A6EB22D4997}"/>
    <dataValidation allowBlank="1" showInputMessage="1" showErrorMessage="1" prompt="La letra “P” indica una ausencia por motivos personales" sqref="G4" xr:uid="{C0C503AC-2CC9-4F17-AA8E-98371A041C58}"/>
    <dataValidation allowBlank="1" showInputMessage="1" showErrorMessage="1" prompt="La letra “E” indica una ausencia por enfermedad" sqref="K4" xr:uid="{AFFCFAFB-AF61-4C1A-B7A9-5601224954C5}"/>
    <dataValidation allowBlank="1" showInputMessage="1" showErrorMessage="1" prompt="Escriba una letra y personalice la etiqueta de la derecha para agregar otro elemento clave." sqref="O4 T4" xr:uid="{62C508AE-93BC-4663-8474-736A9D658539}"/>
    <dataValidation allowBlank="1" showInputMessage="1" showErrorMessage="1" prompt="Escriba una etiqueta para describir la clave personalizada de la izquierda." sqref="U4 P4" xr:uid="{4BD43F0E-002B-4E61-A7BB-E2994AEFA776}"/>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8A4BB08A-5DC1-A74C-9332-E844D960CD41}"/>
    <dataValidation allowBlank="1" showInputMessage="1" showErrorMessage="1" prompt="Los días del mes se generan automáticamente en esta fila. Especifique la ausencia del empleado y el tipo en cada columna para cada día del mes. En blanco significa que no hay ninguna ausencia" sqref="C8" xr:uid="{D8726BCE-956C-3B41-916D-0B0F98B156A4}"/>
    <dataValidation allowBlank="1" showInputMessage="1" showErrorMessage="1" prompt="Los días laborables en esta fila se actualizan automáticamente durante el mes según el año en AH4. Cada día del mes es una columna para indicar la ausencia del empleado y el tipo de ausencia" sqref="C7" xr:uid="{492FF65C-4A5C-D048-AC41-58954D7E6423}"/>
    <dataValidation allowBlank="1" showInputMessage="1" showErrorMessage="1" prompt="Realice un seguimiento de las ausencias de marzo en esta hoja de cálculo." sqref="A1" xr:uid="{9C29030B-C671-584C-88AB-6E5DAA9E8710}"/>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2762156D-19E3-41B9-850A-716948C65BBA}"/>
    <dataValidation allowBlank="1" showInputMessage="1" showErrorMessage="1" prompt="Esta celda contiene el título de la hoja de cálculo. " sqref="B1" xr:uid="{731ACA6E-F870-4E9C-A404-015D17ACC387}"/>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C6C51CE4-E5A5-6548-B677-75BFC57A1AE7}">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A0626E6-C18A-DC42-8971-E3030B4FEB3F}">
          <x14:formula1>
            <xm:f>'Integrantes del equipo'!$B$4:$B$8</xm:f>
          </x14:formula1>
          <xm:sqref>B9:B13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pageSetUpPr fitToPage="1"/>
  </sheetPr>
  <dimension ref="B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27" t="s">
        <v>39</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TEXT(WEEKDAY(DATE(CalendarYear,5,1),1),"ddd")</f>
        <v>jue</v>
      </c>
      <c r="D7" s="22" t="str">
        <f>TEXT(WEEKDAY(DATE(CalendarYear,5,2),1),"ddd")</f>
        <v>vie</v>
      </c>
      <c r="E7" s="22" t="str">
        <f>TEXT(WEEKDAY(DATE(CalendarYear,5,3),1),"ddd")</f>
        <v>sáb</v>
      </c>
      <c r="F7" s="22" t="str">
        <f>TEXT(WEEKDAY(DATE(CalendarYear,5,4),1),"ddd")</f>
        <v>dom</v>
      </c>
      <c r="G7" s="22" t="str">
        <f>TEXT(WEEKDAY(DATE(CalendarYear,5,5),1),"ddd")</f>
        <v>lun</v>
      </c>
      <c r="H7" s="22" t="str">
        <f>TEXT(WEEKDAY(DATE(CalendarYear,5,6),1),"ddd")</f>
        <v>mar</v>
      </c>
      <c r="I7" s="22" t="str">
        <f>TEXT(WEEKDAY(DATE(CalendarYear,5,7),1),"ddd")</f>
        <v>mié</v>
      </c>
      <c r="J7" s="22" t="str">
        <f>TEXT(WEEKDAY(DATE(CalendarYear,5,8),1),"ddd")</f>
        <v>jue</v>
      </c>
      <c r="K7" s="22" t="str">
        <f>TEXT(WEEKDAY(DATE(CalendarYear,5,9),1),"ddd")</f>
        <v>vie</v>
      </c>
      <c r="L7" s="22" t="str">
        <f>TEXT(WEEKDAY(DATE(CalendarYear,5,10),1),"ddd")</f>
        <v>sáb</v>
      </c>
      <c r="M7" s="22" t="str">
        <f>TEXT(WEEKDAY(DATE(CalendarYear,5,11),1),"ddd")</f>
        <v>dom</v>
      </c>
      <c r="N7" s="22" t="str">
        <f>TEXT(WEEKDAY(DATE(CalendarYear,5,12),1),"ddd")</f>
        <v>lun</v>
      </c>
      <c r="O7" s="22" t="str">
        <f>TEXT(WEEKDAY(DATE(CalendarYear,5,13),1),"ddd")</f>
        <v>mar</v>
      </c>
      <c r="P7" s="22" t="str">
        <f>TEXT(WEEKDAY(DATE(CalendarYear,5,14),1),"ddd")</f>
        <v>mié</v>
      </c>
      <c r="Q7" s="22" t="str">
        <f>TEXT(WEEKDAY(DATE(CalendarYear,5,15),1),"ddd")</f>
        <v>jue</v>
      </c>
      <c r="R7" s="22" t="str">
        <f>TEXT(WEEKDAY(DATE(CalendarYear,5,16),1),"ddd")</f>
        <v>vie</v>
      </c>
      <c r="S7" s="22" t="str">
        <f>TEXT(WEEKDAY(DATE(CalendarYear,5,17),1),"ddd")</f>
        <v>sáb</v>
      </c>
      <c r="T7" s="22" t="str">
        <f>TEXT(WEEKDAY(DATE(CalendarYear,5,18),1),"ddd")</f>
        <v>dom</v>
      </c>
      <c r="U7" s="22" t="str">
        <f>TEXT(WEEKDAY(DATE(CalendarYear,5,19),1),"ddd")</f>
        <v>lun</v>
      </c>
      <c r="V7" s="22" t="str">
        <f>TEXT(WEEKDAY(DATE(CalendarYear,5,20),1),"ddd")</f>
        <v>mar</v>
      </c>
      <c r="W7" s="22" t="str">
        <f>TEXT(WEEKDAY(DATE(CalendarYear,5,21),1),"ddd")</f>
        <v>mié</v>
      </c>
      <c r="X7" s="22" t="str">
        <f>TEXT(WEEKDAY(DATE(CalendarYear,5,22),1),"ddd")</f>
        <v>jue</v>
      </c>
      <c r="Y7" s="22" t="str">
        <f>TEXT(WEEKDAY(DATE(CalendarYear,5,23),1),"ddd")</f>
        <v>vie</v>
      </c>
      <c r="Z7" s="22" t="str">
        <f>TEXT(WEEKDAY(DATE(CalendarYear,5,24),1),"ddd")</f>
        <v>sáb</v>
      </c>
      <c r="AA7" s="22" t="str">
        <f>TEXT(WEEKDAY(DATE(CalendarYear,5,25),1),"ddd")</f>
        <v>dom</v>
      </c>
      <c r="AB7" s="22" t="str">
        <f>TEXT(WEEKDAY(DATE(CalendarYear,5,26),1),"ddd")</f>
        <v>lun</v>
      </c>
      <c r="AC7" s="22" t="str">
        <f>TEXT(WEEKDAY(DATE(CalendarYear,5,27),1),"ddd")</f>
        <v>mar</v>
      </c>
      <c r="AD7" s="22" t="str">
        <f>TEXT(WEEKDAY(DATE(CalendarYear,5,28),1),"ddd")</f>
        <v>mié</v>
      </c>
      <c r="AE7" s="22" t="str">
        <f>TEXT(WEEKDAY(DATE(CalendarYear,5,29),1),"ddd")</f>
        <v>jue</v>
      </c>
      <c r="AF7" s="22" t="str">
        <f>TEXT(WEEKDAY(DATE(CalendarYear,5,30),1),"ddd")</f>
        <v>vie</v>
      </c>
      <c r="AG7" s="22" t="str">
        <f>TEXT(WEEKDAY(DATE(CalendarYear,5,31),1),"ddd")</f>
        <v>sáb</v>
      </c>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23" t="s">
        <v>33</v>
      </c>
    </row>
    <row r="9" spans="2:34" ht="30" customHeight="1" x14ac:dyDescent="0.2">
      <c r="B9" s="2" t="s">
        <v>48</v>
      </c>
      <c r="C9" s="1"/>
      <c r="D9" s="1"/>
      <c r="E9" s="1" t="s">
        <v>56</v>
      </c>
      <c r="F9" s="1" t="s">
        <v>56</v>
      </c>
      <c r="G9" s="1"/>
      <c r="H9" s="1"/>
      <c r="I9" s="1"/>
      <c r="J9" s="1"/>
      <c r="K9" s="1"/>
      <c r="L9" s="1" t="s">
        <v>56</v>
      </c>
      <c r="M9" s="1" t="s">
        <v>56</v>
      </c>
      <c r="N9" s="1"/>
      <c r="O9" s="1"/>
      <c r="P9" s="1"/>
      <c r="Q9" s="1"/>
      <c r="R9" s="1"/>
      <c r="S9" s="1" t="s">
        <v>56</v>
      </c>
      <c r="T9" s="1" t="s">
        <v>56</v>
      </c>
      <c r="U9" s="1"/>
      <c r="V9" s="1"/>
      <c r="W9" s="1"/>
      <c r="X9" s="1"/>
      <c r="Y9" s="1"/>
      <c r="Z9" s="1" t="s">
        <v>56</v>
      </c>
      <c r="AA9" s="1" t="s">
        <v>56</v>
      </c>
      <c r="AB9" s="1"/>
      <c r="AC9" s="1"/>
      <c r="AD9" s="1"/>
      <c r="AE9" s="1"/>
      <c r="AF9" s="1"/>
      <c r="AG9" s="1"/>
      <c r="AH9" s="3">
        <f>COUNTA(March58[[#This Row],[1]:[31]])</f>
        <v>8</v>
      </c>
    </row>
    <row r="10" spans="2:34" ht="30" customHeight="1" x14ac:dyDescent="0.2">
      <c r="B10" s="2" t="s">
        <v>49</v>
      </c>
      <c r="C10" s="1"/>
      <c r="D10" s="1"/>
      <c r="E10" s="1" t="s">
        <v>56</v>
      </c>
      <c r="F10" s="1" t="s">
        <v>56</v>
      </c>
      <c r="G10" s="1"/>
      <c r="H10" s="1"/>
      <c r="I10" s="1"/>
      <c r="J10" s="1"/>
      <c r="K10" s="1"/>
      <c r="L10" s="1" t="s">
        <v>56</v>
      </c>
      <c r="M10" s="1" t="s">
        <v>56</v>
      </c>
      <c r="N10" s="1"/>
      <c r="O10" s="1"/>
      <c r="P10" s="1"/>
      <c r="Q10" s="1"/>
      <c r="R10" s="1"/>
      <c r="S10" s="1" t="s">
        <v>56</v>
      </c>
      <c r="T10" s="1" t="s">
        <v>56</v>
      </c>
      <c r="U10" s="1"/>
      <c r="V10" s="1"/>
      <c r="W10" s="1"/>
      <c r="X10" s="1"/>
      <c r="Y10" s="1"/>
      <c r="Z10" s="1" t="s">
        <v>56</v>
      </c>
      <c r="AA10" s="1" t="s">
        <v>56</v>
      </c>
      <c r="AB10" s="1"/>
      <c r="AC10" s="1"/>
      <c r="AD10" s="1"/>
      <c r="AE10" s="1"/>
      <c r="AF10" s="1"/>
      <c r="AG10" s="1"/>
      <c r="AH10" s="3">
        <f>COUNTA(March58[[#This Row],[1]:[31]])</f>
        <v>8</v>
      </c>
    </row>
    <row r="11" spans="2:34" ht="30" customHeight="1" x14ac:dyDescent="0.2">
      <c r="B11" s="2" t="s">
        <v>51</v>
      </c>
      <c r="C11" s="1"/>
      <c r="D11" s="1"/>
      <c r="E11" s="1" t="s">
        <v>56</v>
      </c>
      <c r="F11" s="1" t="s">
        <v>56</v>
      </c>
      <c r="G11" s="1"/>
      <c r="H11" s="1"/>
      <c r="I11" s="1"/>
      <c r="J11" s="1"/>
      <c r="K11" s="1"/>
      <c r="L11" s="1" t="s">
        <v>56</v>
      </c>
      <c r="M11" s="1" t="s">
        <v>56</v>
      </c>
      <c r="N11" s="1"/>
      <c r="O11" s="1"/>
      <c r="P11" s="1"/>
      <c r="Q11" s="1"/>
      <c r="R11" s="1"/>
      <c r="S11" s="1" t="s">
        <v>56</v>
      </c>
      <c r="T11" s="1" t="s">
        <v>56</v>
      </c>
      <c r="U11" s="1"/>
      <c r="V11" s="1"/>
      <c r="W11" s="1"/>
      <c r="X11" s="1"/>
      <c r="Y11" s="1"/>
      <c r="Z11" s="1" t="s">
        <v>56</v>
      </c>
      <c r="AA11" s="1" t="s">
        <v>56</v>
      </c>
      <c r="AB11" s="1"/>
      <c r="AC11" s="1"/>
      <c r="AD11" s="1"/>
      <c r="AE11" s="1"/>
      <c r="AF11" s="1"/>
      <c r="AG11" s="1"/>
      <c r="AH11" s="3">
        <f>COUNTA(March58[[#This Row],[1]:[31]])</f>
        <v>8</v>
      </c>
    </row>
    <row r="12" spans="2:34" ht="30" customHeight="1" x14ac:dyDescent="0.2">
      <c r="B12" s="2" t="s">
        <v>52</v>
      </c>
      <c r="C12" s="1"/>
      <c r="D12" s="1"/>
      <c r="E12" s="1" t="s">
        <v>56</v>
      </c>
      <c r="F12" s="1" t="s">
        <v>56</v>
      </c>
      <c r="G12" s="1"/>
      <c r="H12" s="1"/>
      <c r="I12" s="1"/>
      <c r="J12" s="1"/>
      <c r="K12" s="1"/>
      <c r="L12" s="1" t="s">
        <v>56</v>
      </c>
      <c r="M12" s="1" t="s">
        <v>56</v>
      </c>
      <c r="N12" s="1"/>
      <c r="O12" s="1"/>
      <c r="P12" s="1"/>
      <c r="Q12" s="1"/>
      <c r="R12" s="1"/>
      <c r="S12" s="1" t="s">
        <v>56</v>
      </c>
      <c r="T12" s="1" t="s">
        <v>56</v>
      </c>
      <c r="U12" s="1"/>
      <c r="V12" s="1"/>
      <c r="W12" s="1"/>
      <c r="X12" s="1"/>
      <c r="Y12" s="1"/>
      <c r="Z12" s="1" t="s">
        <v>56</v>
      </c>
      <c r="AA12" s="1" t="s">
        <v>56</v>
      </c>
      <c r="AB12" s="1"/>
      <c r="AC12" s="1"/>
      <c r="AD12" s="1"/>
      <c r="AE12" s="1"/>
      <c r="AF12" s="1"/>
      <c r="AG12" s="1"/>
      <c r="AH12" s="3">
        <f>COUNTA(March58[[#This Row],[1]:[31]])</f>
        <v>8</v>
      </c>
    </row>
    <row r="13" spans="2:34" ht="30" customHeight="1" x14ac:dyDescent="0.2">
      <c r="B13" s="2" t="s">
        <v>50</v>
      </c>
      <c r="C13" s="1"/>
      <c r="D13" s="1"/>
      <c r="E13" s="1" t="s">
        <v>56</v>
      </c>
      <c r="F13" s="1" t="s">
        <v>56</v>
      </c>
      <c r="G13" s="1"/>
      <c r="H13" s="1"/>
      <c r="I13" s="1"/>
      <c r="J13" s="1"/>
      <c r="K13" s="1"/>
      <c r="L13" s="1" t="s">
        <v>56</v>
      </c>
      <c r="M13" s="1" t="s">
        <v>56</v>
      </c>
      <c r="N13" s="1"/>
      <c r="O13" s="1"/>
      <c r="P13" s="1"/>
      <c r="Q13" s="1"/>
      <c r="R13" s="1"/>
      <c r="S13" s="1" t="s">
        <v>56</v>
      </c>
      <c r="T13" s="1" t="s">
        <v>56</v>
      </c>
      <c r="U13" s="1"/>
      <c r="V13" s="1"/>
      <c r="W13" s="1"/>
      <c r="X13" s="1"/>
      <c r="Y13" s="1"/>
      <c r="Z13" s="1" t="s">
        <v>56</v>
      </c>
      <c r="AA13" s="1" t="s">
        <v>56</v>
      </c>
      <c r="AB13" s="1"/>
      <c r="AC13" s="1"/>
      <c r="AD13" s="1"/>
      <c r="AE13" s="1"/>
      <c r="AF13" s="1"/>
      <c r="AG13" s="1"/>
      <c r="AH13" s="3">
        <f>COUNTA(March58[[#This Row],[1]:[31]])</f>
        <v>8</v>
      </c>
    </row>
    <row r="14" spans="2: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SUBTOTAL(109,March58[Total de días])</f>
        <v>40</v>
      </c>
    </row>
  </sheetData>
  <mergeCells count="6">
    <mergeCell ref="C6:AG6"/>
    <mergeCell ref="D4:F4"/>
    <mergeCell ref="H4:J4"/>
    <mergeCell ref="L4:N4"/>
    <mergeCell ref="P4:S4"/>
    <mergeCell ref="U4:X4"/>
  </mergeCells>
  <phoneticPr fontId="32" type="noConversion"/>
  <conditionalFormatting sqref="C9:D13 G9:K13 N9:R13 U9:Y13 AB9:AG13">
    <cfRule type="expression" priority="25" stopIfTrue="1">
      <formula>C9=""</formula>
    </cfRule>
    <cfRule type="expression" dxfId="194" priority="30" stopIfTrue="1">
      <formula>C9=KeyVacation</formula>
    </cfRule>
    <cfRule type="expression" dxfId="193" priority="29" stopIfTrue="1">
      <formula>C9=KeyPersonal</formula>
    </cfRule>
    <cfRule type="expression" dxfId="192" priority="28" stopIfTrue="1">
      <formula>C9=KeySick</formula>
    </cfRule>
    <cfRule type="expression" dxfId="191" priority="27" stopIfTrue="1">
      <formula>C9=KeyCustom1</formula>
    </cfRule>
    <cfRule type="expression" dxfId="190" priority="26" stopIfTrue="1">
      <formula>C9=KeyCustom2</formula>
    </cfRule>
  </conditionalFormatting>
  <conditionalFormatting sqref="E9:F13">
    <cfRule type="expression" dxfId="189" priority="24" stopIfTrue="1">
      <formula>E9=KeyVacation</formula>
    </cfRule>
    <cfRule type="expression" priority="19" stopIfTrue="1">
      <formula>E9=""</formula>
    </cfRule>
    <cfRule type="expression" dxfId="188" priority="20" stopIfTrue="1">
      <formula>E9=KeyCustom2</formula>
    </cfRule>
    <cfRule type="expression" dxfId="187" priority="21" stopIfTrue="1">
      <formula>E9=KeyCustom1</formula>
    </cfRule>
    <cfRule type="expression" dxfId="186" priority="22" stopIfTrue="1">
      <formula>E9=KeySick</formula>
    </cfRule>
    <cfRule type="expression" dxfId="185" priority="23" stopIfTrue="1">
      <formula>E9=KeyPersonal</formula>
    </cfRule>
  </conditionalFormatting>
  <conditionalFormatting sqref="L9:M13">
    <cfRule type="expression" dxfId="184" priority="14" stopIfTrue="1">
      <formula>L9=KeyCustom2</formula>
    </cfRule>
    <cfRule type="expression" dxfId="183" priority="15" stopIfTrue="1">
      <formula>L9=KeyCustom1</formula>
    </cfRule>
    <cfRule type="expression" dxfId="182" priority="16" stopIfTrue="1">
      <formula>L9=KeySick</formula>
    </cfRule>
    <cfRule type="expression" dxfId="181" priority="17" stopIfTrue="1">
      <formula>L9=KeyPersonal</formula>
    </cfRule>
    <cfRule type="expression" dxfId="180" priority="18" stopIfTrue="1">
      <formula>L9=KeyVacation</formula>
    </cfRule>
    <cfRule type="expression" priority="13" stopIfTrue="1">
      <formula>L9=""</formula>
    </cfRule>
  </conditionalFormatting>
  <conditionalFormatting sqref="S9:T13">
    <cfRule type="expression" dxfId="179" priority="8" stopIfTrue="1">
      <formula>S9=KeyCustom2</formula>
    </cfRule>
    <cfRule type="expression" dxfId="178" priority="9" stopIfTrue="1">
      <formula>S9=KeyCustom1</formula>
    </cfRule>
    <cfRule type="expression" dxfId="177" priority="10" stopIfTrue="1">
      <formula>S9=KeySick</formula>
    </cfRule>
    <cfRule type="expression" dxfId="176" priority="11" stopIfTrue="1">
      <formula>S9=KeyPersonal</formula>
    </cfRule>
    <cfRule type="expression" dxfId="175" priority="12" stopIfTrue="1">
      <formula>S9=KeyVacation</formula>
    </cfRule>
    <cfRule type="expression" priority="7" stopIfTrue="1">
      <formula>S9=""</formula>
    </cfRule>
  </conditionalFormatting>
  <conditionalFormatting sqref="Z9:AA13">
    <cfRule type="expression" priority="1" stopIfTrue="1">
      <formula>Z9=""</formula>
    </cfRule>
    <cfRule type="expression" dxfId="174" priority="6" stopIfTrue="1">
      <formula>Z9=KeyVacation</formula>
    </cfRule>
    <cfRule type="expression" dxfId="173" priority="5" stopIfTrue="1">
      <formula>Z9=KeyPersonal</formula>
    </cfRule>
    <cfRule type="expression" dxfId="172" priority="4" stopIfTrue="1">
      <formula>Z9=KeySick</formula>
    </cfRule>
    <cfRule type="expression" dxfId="171" priority="3" stopIfTrue="1">
      <formula>Z9=KeyCustom1</formula>
    </cfRule>
    <cfRule type="expression" dxfId="170" priority="2" stopIfTrue="1">
      <formula>Z9=KeyCustom2</formula>
    </cfRule>
  </conditionalFormatting>
  <conditionalFormatting sqref="AH9:AH13">
    <cfRule type="dataBar" priority="31">
      <dataBar>
        <cfvo type="min"/>
        <cfvo type="formula" val="DATEDIF(DATE(CalendarYear,2,1),DATE(CalendarYear,3,1),&quot;d&quot;)"/>
        <color theme="2" tint="-0.249977111117893"/>
      </dataBar>
      <extLst>
        <ext xmlns:x14="http://schemas.microsoft.com/office/spreadsheetml/2009/9/main" uri="{B025F937-C7B1-47D3-B67F-A62EFF666E3E}">
          <x14:id>{A375B1A4-CE4E-6D4B-BAE6-14354F30C96E}</x14:id>
        </ext>
      </extLst>
    </cfRule>
  </conditionalFormatting>
  <dataValidations count="15">
    <dataValidation allowBlank="1" showInputMessage="1" showErrorMessage="1" prompt="Los días del mes se generan automáticamente en esta fila. Especifique la ausencia del empleado y el tipo en cada columna para cada día del mes. En blanco significa que no hay ninguna ausencia" sqref="C8" xr:uid="{335D4725-041B-2E47-BBA9-5D657DA932CD}"/>
    <dataValidation allowBlank="1" showInputMessage="1" showErrorMessage="1" prompt="Escriba una etiqueta para describir la clave personalizada de la izquierda." sqref="U4 P4" xr:uid="{2F09F0A2-24AE-4899-8422-BEFE28F2654D}"/>
    <dataValidation allowBlank="1" showInputMessage="1" showErrorMessage="1" prompt="Escriba una letra y personalice la etiqueta de la derecha para agregar otro elemento clave." sqref="O4 T4" xr:uid="{3C215D0D-9D98-4E1E-A591-7EA5215B580A}"/>
    <dataValidation allowBlank="1" showInputMessage="1" showErrorMessage="1" prompt="La letra “E” indica una ausencia por enfermedad" sqref="K4" xr:uid="{998D2AA2-0FF1-4DC9-BDD2-9828D16838F1}"/>
    <dataValidation allowBlank="1" showInputMessage="1" showErrorMessage="1" prompt="La letra “P” indica una ausencia por motivos personales" sqref="G4" xr:uid="{679BF423-111F-45E9-8F16-F455E198E00A}"/>
    <dataValidation allowBlank="1" showInputMessage="1" showErrorMessage="1" prompt="La letra “V” indica una ausencia por vacaciones" sqref="C4" xr:uid="{2FE32107-DAAD-4BDF-9F70-0C936972B45F}"/>
    <dataValidation allowBlank="1" showInputMessage="1" showErrorMessage="1" prompt="El título se actualiza automáticamente en esta celda. Para modificarlo, actualice la celda B1 en la hoja de cálculo de enero" sqref="B2" xr:uid="{AF65042B-CFA9-EE45-B22D-BF607EFD23A2}"/>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C0A2985C-C83F-4D53-8B6B-DC975A7770FA}"/>
    <dataValidation allowBlank="1" showInputMessage="1" showErrorMessage="1" prompt="Calcula automáticamente el número total de días que un empleado estuvo ausente este mes en esta columna" sqref="AH8" xr:uid="{AA6AB7B7-5D91-F64F-B211-A848209375D2}"/>
    <dataValidation allowBlank="1" showInputMessage="1" showErrorMessage="1" prompt="Año actualizado automáticamente en función del año introducido en la hoja de cálculo de enero" sqref="AH6" xr:uid="{B487DEDD-C1B1-7244-96C6-F378FEF21F51}"/>
    <dataValidation allowBlank="1" showInputMessage="1" showErrorMessage="1" prompt="Los días laborables en esta fila se actualizan automáticamente durante el mes según el año en AH4. Cada día del mes es una columna para indicar la ausencia del empleado y el tipo de ausencia" sqref="C7" xr:uid="{01F3DA31-27D6-FF4D-B48B-4013BF344DCF}"/>
    <dataValidation allowBlank="1" showInputMessage="1" showErrorMessage="1" prompt="Realice un seguimiento de las ausencias de marzo en esta hoja de cálculo." sqref="A1" xr:uid="{13CF1C37-090E-F24B-AF68-CAE6199B19CC}"/>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B5AA8D04-FE35-8C4F-90FD-347160FC6301}"/>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EE06FB47-B411-42B4-96AD-7F5F5E4B6358}"/>
    <dataValidation allowBlank="1" showInputMessage="1" showErrorMessage="1" prompt="Esta celda contiene el título de la hoja de cálculo. " sqref="B1" xr:uid="{6B77D2B8-D4CE-4592-900C-3CAEDF8D1C0B}"/>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375B1A4-CE4E-6D4B-BAE6-14354F30C96E}">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1B1DACF-B091-8040-A452-F5B0F1F6A6F7}">
          <x14:formula1>
            <xm:f>'Integrantes del equipo'!$B$4:$B$8</xm:f>
          </x14:formula1>
          <xm:sqref>B9:B13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pageSetUpPr fitToPage="1"/>
  </sheetPr>
  <dimension ref="B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50.1" customHeight="1" x14ac:dyDescent="0.3">
      <c r="B1" s="25" t="s">
        <v>53</v>
      </c>
    </row>
    <row r="2" spans="2:34" ht="100.15" customHeight="1" x14ac:dyDescent="0.2">
      <c r="B2" s="30" t="s">
        <v>40</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TEXT(WEEKDAY(DATE(CalendarYear,6,1),1),"ddd")</f>
        <v>dom</v>
      </c>
      <c r="D7" s="22" t="str">
        <f>TEXT(WEEKDAY(DATE(CalendarYear,6,2),1),"ddd")</f>
        <v>lun</v>
      </c>
      <c r="E7" s="22" t="str">
        <f>TEXT(WEEKDAY(DATE(CalendarYear,6,3),1),"ddd")</f>
        <v>mar</v>
      </c>
      <c r="F7" s="22" t="str">
        <f>TEXT(WEEKDAY(DATE(CalendarYear,6,4),1),"ddd")</f>
        <v>mié</v>
      </c>
      <c r="G7" s="22" t="str">
        <f>TEXT(WEEKDAY(DATE(CalendarYear,6,5),1),"ddd")</f>
        <v>jue</v>
      </c>
      <c r="H7" s="22" t="str">
        <f>TEXT(WEEKDAY(DATE(CalendarYear,6,6),1),"ddd")</f>
        <v>vie</v>
      </c>
      <c r="I7" s="22" t="str">
        <f>TEXT(WEEKDAY(DATE(CalendarYear,6,7),1),"ddd")</f>
        <v>sáb</v>
      </c>
      <c r="J7" s="22" t="str">
        <f>TEXT(WEEKDAY(DATE(CalendarYear,6,8),1),"ddd")</f>
        <v>dom</v>
      </c>
      <c r="K7" s="22" t="str">
        <f>TEXT(WEEKDAY(DATE(CalendarYear,6,9),1),"ddd")</f>
        <v>lun</v>
      </c>
      <c r="L7" s="22" t="str">
        <f>TEXT(WEEKDAY(DATE(CalendarYear,6,10),1),"ddd")</f>
        <v>mar</v>
      </c>
      <c r="M7" s="22" t="str">
        <f>TEXT(WEEKDAY(DATE(CalendarYear,6,11),1),"ddd")</f>
        <v>mié</v>
      </c>
      <c r="N7" s="22" t="str">
        <f>TEXT(WEEKDAY(DATE(CalendarYear,6,12),1),"ddd")</f>
        <v>jue</v>
      </c>
      <c r="O7" s="22" t="str">
        <f>TEXT(WEEKDAY(DATE(CalendarYear,6,13),1),"ddd")</f>
        <v>vie</v>
      </c>
      <c r="P7" s="22" t="str">
        <f>TEXT(WEEKDAY(DATE(CalendarYear,6,14),1),"ddd")</f>
        <v>sáb</v>
      </c>
      <c r="Q7" s="22" t="str">
        <f>TEXT(WEEKDAY(DATE(CalendarYear,6,15),1),"ddd")</f>
        <v>dom</v>
      </c>
      <c r="R7" s="22" t="str">
        <f>TEXT(WEEKDAY(DATE(CalendarYear,6,16),1),"ddd")</f>
        <v>lun</v>
      </c>
      <c r="S7" s="22" t="str">
        <f>TEXT(WEEKDAY(DATE(CalendarYear,6,17),1),"ddd")</f>
        <v>mar</v>
      </c>
      <c r="T7" s="22" t="str">
        <f>TEXT(WEEKDAY(DATE(CalendarYear,6,18),1),"ddd")</f>
        <v>mié</v>
      </c>
      <c r="U7" s="22" t="str">
        <f>TEXT(WEEKDAY(DATE(CalendarYear,6,19),1),"ddd")</f>
        <v>jue</v>
      </c>
      <c r="V7" s="22" t="str">
        <f>TEXT(WEEKDAY(DATE(CalendarYear,6,20),1),"ddd")</f>
        <v>vie</v>
      </c>
      <c r="W7" s="22" t="str">
        <f>TEXT(WEEKDAY(DATE(CalendarYear,6,21),1),"ddd")</f>
        <v>sáb</v>
      </c>
      <c r="X7" s="22" t="str">
        <f>TEXT(WEEKDAY(DATE(CalendarYear,6,22),1),"ddd")</f>
        <v>dom</v>
      </c>
      <c r="Y7" s="22" t="str">
        <f>TEXT(WEEKDAY(DATE(CalendarYear,6,23),1),"ddd")</f>
        <v>lun</v>
      </c>
      <c r="Z7" s="22" t="str">
        <f>TEXT(WEEKDAY(DATE(CalendarYear,6,24),1),"ddd")</f>
        <v>mar</v>
      </c>
      <c r="AA7" s="22" t="str">
        <f>TEXT(WEEKDAY(DATE(CalendarYear,6,25),1),"ddd")</f>
        <v>mié</v>
      </c>
      <c r="AB7" s="22" t="str">
        <f>TEXT(WEEKDAY(DATE(CalendarYear,6,26),1),"ddd")</f>
        <v>jue</v>
      </c>
      <c r="AC7" s="22" t="str">
        <f>TEXT(WEEKDAY(DATE(CalendarYear,6,27),1),"ddd")</f>
        <v>vie</v>
      </c>
      <c r="AD7" s="22" t="str">
        <f>TEXT(WEEKDAY(DATE(CalendarYear,6,28),1),"ddd")</f>
        <v>sáb</v>
      </c>
      <c r="AE7" s="22" t="str">
        <f>TEXT(WEEKDAY(DATE(CalendarYear,6,29),1),"ddd")</f>
        <v>dom</v>
      </c>
      <c r="AF7" s="22" t="str">
        <f>TEXT(WEEKDAY(DATE(CalendarYear,6,30),1),"ddd")</f>
        <v>lun</v>
      </c>
      <c r="AG7" s="22"/>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35</v>
      </c>
      <c r="AH8" s="23" t="s">
        <v>33</v>
      </c>
    </row>
    <row r="9" spans="2:34" ht="30" customHeight="1" x14ac:dyDescent="0.2">
      <c r="B9" s="2" t="s">
        <v>48</v>
      </c>
      <c r="C9" s="1"/>
      <c r="D9" s="1"/>
      <c r="E9" s="1"/>
      <c r="F9" s="1"/>
      <c r="G9" s="1"/>
      <c r="H9" s="1"/>
      <c r="I9" s="1" t="s">
        <v>56</v>
      </c>
      <c r="J9" s="1" t="s">
        <v>56</v>
      </c>
      <c r="K9" s="1"/>
      <c r="L9" s="1"/>
      <c r="M9" s="1"/>
      <c r="N9" s="1"/>
      <c r="O9" s="1"/>
      <c r="P9" s="1" t="s">
        <v>56</v>
      </c>
      <c r="Q9" s="1" t="s">
        <v>56</v>
      </c>
      <c r="R9" s="1"/>
      <c r="S9" s="1"/>
      <c r="T9" s="1"/>
      <c r="U9" s="1"/>
      <c r="V9" s="1"/>
      <c r="W9" s="1" t="s">
        <v>56</v>
      </c>
      <c r="X9" s="1" t="s">
        <v>56</v>
      </c>
      <c r="Y9" s="1"/>
      <c r="Z9" s="1"/>
      <c r="AA9" s="1"/>
      <c r="AB9" s="1"/>
      <c r="AC9" s="1"/>
      <c r="AD9" s="1" t="s">
        <v>56</v>
      </c>
      <c r="AE9" s="1" t="s">
        <v>56</v>
      </c>
      <c r="AF9" s="1"/>
      <c r="AG9" s="1"/>
      <c r="AH9" s="3">
        <f>COUNTA(Junio[[#This Row],[1]:[ ]])</f>
        <v>8</v>
      </c>
    </row>
    <row r="10" spans="2:34" ht="30" customHeight="1" x14ac:dyDescent="0.2">
      <c r="B10" s="2" t="s">
        <v>49</v>
      </c>
      <c r="C10" s="1"/>
      <c r="D10" s="1"/>
      <c r="E10" s="1"/>
      <c r="F10" s="1"/>
      <c r="G10" s="1"/>
      <c r="H10" s="1"/>
      <c r="I10" s="1" t="s">
        <v>56</v>
      </c>
      <c r="J10" s="1" t="s">
        <v>56</v>
      </c>
      <c r="K10" s="1"/>
      <c r="L10" s="1"/>
      <c r="M10" s="1"/>
      <c r="N10" s="1"/>
      <c r="O10" s="1"/>
      <c r="P10" s="1" t="s">
        <v>56</v>
      </c>
      <c r="Q10" s="1" t="s">
        <v>56</v>
      </c>
      <c r="R10" s="1"/>
      <c r="S10" s="1"/>
      <c r="T10" s="1"/>
      <c r="U10" s="1"/>
      <c r="V10" s="1"/>
      <c r="W10" s="1" t="s">
        <v>56</v>
      </c>
      <c r="X10" s="1" t="s">
        <v>56</v>
      </c>
      <c r="Y10" s="1"/>
      <c r="Z10" s="1"/>
      <c r="AA10" s="1"/>
      <c r="AB10" s="1"/>
      <c r="AC10" s="1"/>
      <c r="AD10" s="1" t="s">
        <v>56</v>
      </c>
      <c r="AE10" s="1" t="s">
        <v>56</v>
      </c>
      <c r="AF10" s="1"/>
      <c r="AG10" s="1"/>
      <c r="AH10" s="3">
        <f>COUNTA(Junio[[#This Row],[1]:[ ]])</f>
        <v>8</v>
      </c>
    </row>
    <row r="11" spans="2:34" ht="30" customHeight="1" x14ac:dyDescent="0.2">
      <c r="B11" s="2" t="s">
        <v>51</v>
      </c>
      <c r="C11" s="1"/>
      <c r="D11" s="1"/>
      <c r="E11" s="1"/>
      <c r="F11" s="1"/>
      <c r="G11" s="1"/>
      <c r="H11" s="1"/>
      <c r="I11" s="1" t="s">
        <v>56</v>
      </c>
      <c r="J11" s="1" t="s">
        <v>56</v>
      </c>
      <c r="K11" s="1"/>
      <c r="L11" s="1"/>
      <c r="M11" s="1"/>
      <c r="N11" s="1"/>
      <c r="O11" s="1"/>
      <c r="P11" s="1" t="s">
        <v>56</v>
      </c>
      <c r="Q11" s="1" t="s">
        <v>56</v>
      </c>
      <c r="R11" s="1"/>
      <c r="S11" s="1"/>
      <c r="T11" s="1"/>
      <c r="U11" s="1"/>
      <c r="V11" s="1"/>
      <c r="W11" s="1" t="s">
        <v>56</v>
      </c>
      <c r="X11" s="1" t="s">
        <v>56</v>
      </c>
      <c r="Y11" s="1"/>
      <c r="Z11" s="1"/>
      <c r="AA11" s="1"/>
      <c r="AB11" s="1"/>
      <c r="AC11" s="1"/>
      <c r="AD11" s="1" t="s">
        <v>56</v>
      </c>
      <c r="AE11" s="1" t="s">
        <v>56</v>
      </c>
      <c r="AF11" s="1"/>
      <c r="AG11" s="1"/>
      <c r="AH11" s="3">
        <f>COUNTA(Junio[[#This Row],[1]:[ ]])</f>
        <v>8</v>
      </c>
    </row>
    <row r="12" spans="2:34" ht="30" customHeight="1" x14ac:dyDescent="0.2">
      <c r="B12" s="2" t="s">
        <v>52</v>
      </c>
      <c r="C12" s="1"/>
      <c r="D12" s="1"/>
      <c r="E12" s="1"/>
      <c r="F12" s="1"/>
      <c r="G12" s="1"/>
      <c r="H12" s="1"/>
      <c r="I12" s="1" t="s">
        <v>56</v>
      </c>
      <c r="J12" s="1" t="s">
        <v>56</v>
      </c>
      <c r="K12" s="1"/>
      <c r="L12" s="1"/>
      <c r="M12" s="1"/>
      <c r="N12" s="1"/>
      <c r="O12" s="1"/>
      <c r="P12" s="1" t="s">
        <v>56</v>
      </c>
      <c r="Q12" s="1" t="s">
        <v>56</v>
      </c>
      <c r="R12" s="1"/>
      <c r="S12" s="1"/>
      <c r="T12" s="1"/>
      <c r="U12" s="1"/>
      <c r="V12" s="1"/>
      <c r="W12" s="1" t="s">
        <v>56</v>
      </c>
      <c r="X12" s="1" t="s">
        <v>56</v>
      </c>
      <c r="Y12" s="1"/>
      <c r="Z12" s="1"/>
      <c r="AA12" s="1"/>
      <c r="AB12" s="1"/>
      <c r="AC12" s="1"/>
      <c r="AD12" s="1" t="s">
        <v>56</v>
      </c>
      <c r="AE12" s="1" t="s">
        <v>56</v>
      </c>
      <c r="AF12" s="1"/>
      <c r="AG12" s="1"/>
      <c r="AH12" s="3">
        <f>COUNTA(Junio[[#This Row],[1]:[ ]])</f>
        <v>8</v>
      </c>
    </row>
    <row r="13" spans="2:34" ht="30" customHeight="1" x14ac:dyDescent="0.2">
      <c r="B13" s="2" t="s">
        <v>50</v>
      </c>
      <c r="C13" s="1"/>
      <c r="D13" s="1"/>
      <c r="E13" s="1"/>
      <c r="F13" s="1"/>
      <c r="G13" s="1"/>
      <c r="H13" s="1"/>
      <c r="I13" s="1" t="s">
        <v>56</v>
      </c>
      <c r="J13" s="1" t="s">
        <v>56</v>
      </c>
      <c r="K13" s="1"/>
      <c r="L13" s="1"/>
      <c r="M13" s="1"/>
      <c r="N13" s="1"/>
      <c r="O13" s="1"/>
      <c r="P13" s="1" t="s">
        <v>56</v>
      </c>
      <c r="Q13" s="1" t="s">
        <v>56</v>
      </c>
      <c r="R13" s="1"/>
      <c r="S13" s="1"/>
      <c r="T13" s="1"/>
      <c r="U13" s="1"/>
      <c r="V13" s="1"/>
      <c r="W13" s="1" t="s">
        <v>56</v>
      </c>
      <c r="X13" s="1" t="s">
        <v>56</v>
      </c>
      <c r="Y13" s="1"/>
      <c r="Z13" s="1"/>
      <c r="AA13" s="1"/>
      <c r="AB13" s="1"/>
      <c r="AC13" s="1"/>
      <c r="AD13" s="1" t="s">
        <v>56</v>
      </c>
      <c r="AE13" s="1" t="s">
        <v>56</v>
      </c>
      <c r="AF13" s="1"/>
      <c r="AG13" s="1"/>
      <c r="AH13" s="3">
        <f>COUNTA(Junio[[#This Row],[1]:[ ]])</f>
        <v>8</v>
      </c>
    </row>
    <row r="14" spans="2: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SUBTOTAL(109,Junio[Total de días])</f>
        <v>40</v>
      </c>
    </row>
  </sheetData>
  <mergeCells count="6">
    <mergeCell ref="C6:AG6"/>
    <mergeCell ref="D4:F4"/>
    <mergeCell ref="H4:J4"/>
    <mergeCell ref="L4:N4"/>
    <mergeCell ref="P4:S4"/>
    <mergeCell ref="U4:X4"/>
  </mergeCells>
  <phoneticPr fontId="32" type="noConversion"/>
  <conditionalFormatting sqref="C9:H13 K9:O13 R9:V13 Y9:AC13 AF9:AG13">
    <cfRule type="expression" priority="25" stopIfTrue="1">
      <formula>C9=""</formula>
    </cfRule>
    <cfRule type="expression" dxfId="169" priority="30" stopIfTrue="1">
      <formula>C9=KeyVacation</formula>
    </cfRule>
    <cfRule type="expression" dxfId="168" priority="29" stopIfTrue="1">
      <formula>C9=KeyPersonal</formula>
    </cfRule>
    <cfRule type="expression" dxfId="167" priority="28" stopIfTrue="1">
      <formula>C9=KeySick</formula>
    </cfRule>
    <cfRule type="expression" dxfId="166" priority="27" stopIfTrue="1">
      <formula>C9=KeyCustom1</formula>
    </cfRule>
    <cfRule type="expression" dxfId="165" priority="26" stopIfTrue="1">
      <formula>C9=KeyCustom2</formula>
    </cfRule>
  </conditionalFormatting>
  <conditionalFormatting sqref="I9:J13">
    <cfRule type="expression" dxfId="164" priority="24" stopIfTrue="1">
      <formula>I9=KeyVacation</formula>
    </cfRule>
    <cfRule type="expression" priority="19" stopIfTrue="1">
      <formula>I9=""</formula>
    </cfRule>
    <cfRule type="expression" dxfId="163" priority="20" stopIfTrue="1">
      <formula>I9=KeyCustom2</formula>
    </cfRule>
    <cfRule type="expression" dxfId="162" priority="21" stopIfTrue="1">
      <formula>I9=KeyCustom1</formula>
    </cfRule>
    <cfRule type="expression" dxfId="161" priority="22" stopIfTrue="1">
      <formula>I9=KeySick</formula>
    </cfRule>
    <cfRule type="expression" dxfId="160" priority="23" stopIfTrue="1">
      <formula>I9=KeyPersonal</formula>
    </cfRule>
  </conditionalFormatting>
  <conditionalFormatting sqref="P9:Q13">
    <cfRule type="expression" dxfId="159" priority="14" stopIfTrue="1">
      <formula>P9=KeyCustom2</formula>
    </cfRule>
    <cfRule type="expression" dxfId="158" priority="15" stopIfTrue="1">
      <formula>P9=KeyCustom1</formula>
    </cfRule>
    <cfRule type="expression" dxfId="157" priority="16" stopIfTrue="1">
      <formula>P9=KeySick</formula>
    </cfRule>
    <cfRule type="expression" dxfId="156" priority="17" stopIfTrue="1">
      <formula>P9=KeyPersonal</formula>
    </cfRule>
    <cfRule type="expression" dxfId="155" priority="18" stopIfTrue="1">
      <formula>P9=KeyVacation</formula>
    </cfRule>
    <cfRule type="expression" priority="13" stopIfTrue="1">
      <formula>P9=""</formula>
    </cfRule>
  </conditionalFormatting>
  <conditionalFormatting sqref="W9:X13">
    <cfRule type="expression" dxfId="154" priority="8" stopIfTrue="1">
      <formula>W9=KeyCustom2</formula>
    </cfRule>
    <cfRule type="expression" dxfId="153" priority="9" stopIfTrue="1">
      <formula>W9=KeyCustom1</formula>
    </cfRule>
    <cfRule type="expression" dxfId="152" priority="10" stopIfTrue="1">
      <formula>W9=KeySick</formula>
    </cfRule>
    <cfRule type="expression" dxfId="151" priority="11" stopIfTrue="1">
      <formula>W9=KeyPersonal</formula>
    </cfRule>
    <cfRule type="expression" dxfId="150" priority="12" stopIfTrue="1">
      <formula>W9=KeyVacation</formula>
    </cfRule>
    <cfRule type="expression" priority="7" stopIfTrue="1">
      <formula>W9=""</formula>
    </cfRule>
  </conditionalFormatting>
  <conditionalFormatting sqref="AD9:AE13">
    <cfRule type="expression" priority="1" stopIfTrue="1">
      <formula>AD9=""</formula>
    </cfRule>
    <cfRule type="expression" dxfId="149" priority="6" stopIfTrue="1">
      <formula>AD9=KeyVacation</formula>
    </cfRule>
    <cfRule type="expression" dxfId="148" priority="5" stopIfTrue="1">
      <formula>AD9=KeyPersonal</formula>
    </cfRule>
    <cfRule type="expression" dxfId="147" priority="4" stopIfTrue="1">
      <formula>AD9=KeySick</formula>
    </cfRule>
    <cfRule type="expression" dxfId="146" priority="3" stopIfTrue="1">
      <formula>AD9=KeyCustom1</formula>
    </cfRule>
    <cfRule type="expression" dxfId="145" priority="2" stopIfTrue="1">
      <formula>AD9=KeyCustom2</formula>
    </cfRule>
  </conditionalFormatting>
  <conditionalFormatting sqref="AH9:AH13">
    <cfRule type="dataBar" priority="31">
      <dataBar>
        <cfvo type="min"/>
        <cfvo type="formula" val="DATEDIF(DATE(CalendarYear,2,1),DATE(CalendarYear,3,1),&quot;d&quot;)"/>
        <color theme="2" tint="-0.249977111117893"/>
      </dataBar>
      <extLst>
        <ext xmlns:x14="http://schemas.microsoft.com/office/spreadsheetml/2009/9/main" uri="{B025F937-C7B1-47D3-B67F-A62EFF666E3E}">
          <x14:id>{5E94D469-7B22-408B-924D-8DC8A136AD3B}</x14:id>
        </ext>
      </extLst>
    </cfRule>
  </conditionalFormatting>
  <dataValidations count="15">
    <dataValidation allowBlank="1" showInputMessage="1" showErrorMessage="1" prompt="Los días laborables en esta fila se actualizan automáticamente durante el mes según el año en AH4. Cada día del mes es una columna para indicar la ausencia del empleado y el tipo de ausencia" sqref="C7" xr:uid="{85B1AA25-701F-5E4F-A537-8492818323AC}"/>
    <dataValidation allowBlank="1" showInputMessage="1" showErrorMessage="1" prompt="Año actualizado automáticamente en función del año introducido en la hoja de cálculo de enero" sqref="AH6" xr:uid="{84DE34BD-C74C-E949-BDDC-390099447919}"/>
    <dataValidation allowBlank="1" showInputMessage="1" showErrorMessage="1" prompt="Cálculo automático del número total de días que un empleado ha estado ausente este mes en esta columna" sqref="AH8" xr:uid="{EFC3BF89-2526-1648-9032-54E38409D629}"/>
    <dataValidation allowBlank="1" showInputMessage="1" showErrorMessage="1" prompt="Realice un seguimiento de las ausencias de junio en esta hoja de cálculo." sqref="A1" xr:uid="{00000000-0002-0000-0500-000003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DC7F7C58-C078-4AEE-AF2C-A43AB68FC2B1}"/>
    <dataValidation allowBlank="1" showInputMessage="1" showErrorMessage="1" prompt="El título se actualiza automáticamente en esta celda. Para modificarlo, actualice la celda B1 en la hoja de cálculo de enero" sqref="B2" xr:uid="{00000000-0002-0000-0500-000005000000}"/>
    <dataValidation allowBlank="1" showInputMessage="1" showErrorMessage="1" prompt="La letra “V” indica una ausencia por vacaciones" sqref="C4" xr:uid="{465AAFB8-8099-442A-8F72-5C0BBAF48066}"/>
    <dataValidation allowBlank="1" showInputMessage="1" showErrorMessage="1" prompt="La letra “P” indica una ausencia por motivos personales" sqref="G4" xr:uid="{2B78C35B-70FB-4FC8-88F7-34419AF2005A}"/>
    <dataValidation allowBlank="1" showInputMessage="1" showErrorMessage="1" prompt="La letra “E” indica una ausencia por enfermedad" sqref="K4" xr:uid="{1FBBDE53-FDE9-4689-90C9-AC8CF6D22799}"/>
    <dataValidation allowBlank="1" showInputMessage="1" showErrorMessage="1" prompt="Escriba una letra y personalice la etiqueta de la derecha para agregar otro elemento clave." sqref="O4 T4" xr:uid="{EDE095E1-B252-4BC1-A037-46DF6EA53E75}"/>
    <dataValidation allowBlank="1" showInputMessage="1" showErrorMessage="1" prompt="Escriba una etiqueta para describir la clave personalizada de la izquierda." sqref="U4 P4" xr:uid="{4D3C05BF-6802-4FB8-A97F-368005BCA687}"/>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500-00000C000000}"/>
    <dataValidation allowBlank="1" showInputMessage="1" showErrorMessage="1" prompt="Los días del mes se generan automáticamente en esta fila. Especifique la ausencia del empleado y el tipo en cada columna para cada día del mes. En blanco significa que no hay ninguna ausencia" sqref="C8" xr:uid="{5F765F6B-473A-3349-9925-D065E8DF0F17}"/>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5BDA6D97-A807-4255-9792-7F1264AA213F}"/>
    <dataValidation allowBlank="1" showInputMessage="1" showErrorMessage="1" prompt="Esta celda contiene el título de la hoja de cálculo. " sqref="B1" xr:uid="{AA857EED-E515-4DE4-A1F1-75A29ED0E5E6}"/>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5E94D469-7B22-408B-924D-8DC8A136AD3B}">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E000000}">
          <x14:formula1>
            <xm:f>'Integrantes del equipo'!$B$4:$B$8</xm:f>
          </x14:formula1>
          <xm:sqref>B9:B13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8"/>
    <pageSetUpPr fitToPage="1"/>
  </sheetPr>
  <dimension ref="B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31" t="s">
        <v>41</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TEXT(WEEKDAY(DATE(CalendarYear,7,1),1),"ddd")</f>
        <v>mar</v>
      </c>
      <c r="D7" s="22" t="str">
        <f>TEXT(WEEKDAY(DATE(CalendarYear,7,2),1),"ddd")</f>
        <v>mié</v>
      </c>
      <c r="E7" s="22" t="str">
        <f>TEXT(WEEKDAY(DATE(CalendarYear,7,3),1),"ddd")</f>
        <v>jue</v>
      </c>
      <c r="F7" s="22" t="str">
        <f>TEXT(WEEKDAY(DATE(CalendarYear,7,4),1),"ddd")</f>
        <v>vie</v>
      </c>
      <c r="G7" s="22" t="str">
        <f>TEXT(WEEKDAY(DATE(CalendarYear,7,5),1),"ddd")</f>
        <v>sáb</v>
      </c>
      <c r="H7" s="22" t="str">
        <f>TEXT(WEEKDAY(DATE(CalendarYear,7,6),1),"ddd")</f>
        <v>dom</v>
      </c>
      <c r="I7" s="22" t="str">
        <f>TEXT(WEEKDAY(DATE(CalendarYear,7,7),1),"ddd")</f>
        <v>lun</v>
      </c>
      <c r="J7" s="22" t="str">
        <f>TEXT(WEEKDAY(DATE(CalendarYear,7,8),1),"ddd")</f>
        <v>mar</v>
      </c>
      <c r="K7" s="22" t="str">
        <f>TEXT(WEEKDAY(DATE(CalendarYear,7,9),1),"ddd")</f>
        <v>mié</v>
      </c>
      <c r="L7" s="22" t="str">
        <f>TEXT(WEEKDAY(DATE(CalendarYear,7,10),1),"ddd")</f>
        <v>jue</v>
      </c>
      <c r="M7" s="22" t="str">
        <f>TEXT(WEEKDAY(DATE(CalendarYear,7,11),1),"ddd")</f>
        <v>vie</v>
      </c>
      <c r="N7" s="22" t="str">
        <f>TEXT(WEEKDAY(DATE(CalendarYear,7,12),1),"ddd")</f>
        <v>sáb</v>
      </c>
      <c r="O7" s="22" t="str">
        <f>TEXT(WEEKDAY(DATE(CalendarYear,7,13),1),"ddd")</f>
        <v>dom</v>
      </c>
      <c r="P7" s="22" t="str">
        <f>TEXT(WEEKDAY(DATE(CalendarYear,7,14),1),"ddd")</f>
        <v>lun</v>
      </c>
      <c r="Q7" s="22" t="str">
        <f>TEXT(WEEKDAY(DATE(CalendarYear,7,15),1),"ddd")</f>
        <v>mar</v>
      </c>
      <c r="R7" s="22" t="str">
        <f>TEXT(WEEKDAY(DATE(CalendarYear,7,16),1),"ddd")</f>
        <v>mié</v>
      </c>
      <c r="S7" s="22" t="str">
        <f>TEXT(WEEKDAY(DATE(CalendarYear,7,17),1),"ddd")</f>
        <v>jue</v>
      </c>
      <c r="T7" s="22" t="str">
        <f>TEXT(WEEKDAY(DATE(CalendarYear,7,18),1),"ddd")</f>
        <v>vie</v>
      </c>
      <c r="U7" s="22" t="str">
        <f>TEXT(WEEKDAY(DATE(CalendarYear,7,19),1),"ddd")</f>
        <v>sáb</v>
      </c>
      <c r="V7" s="22" t="str">
        <f>TEXT(WEEKDAY(DATE(CalendarYear,7,20),1),"ddd")</f>
        <v>dom</v>
      </c>
      <c r="W7" s="22" t="str">
        <f>TEXT(WEEKDAY(DATE(CalendarYear,7,21),1),"ddd")</f>
        <v>lun</v>
      </c>
      <c r="X7" s="22" t="str">
        <f>TEXT(WEEKDAY(DATE(CalendarYear,7,22),1),"ddd")</f>
        <v>mar</v>
      </c>
      <c r="Y7" s="22" t="str">
        <f>TEXT(WEEKDAY(DATE(CalendarYear,7,23),1),"ddd")</f>
        <v>mié</v>
      </c>
      <c r="Z7" s="22" t="str">
        <f>TEXT(WEEKDAY(DATE(CalendarYear,7,24),1),"ddd")</f>
        <v>jue</v>
      </c>
      <c r="AA7" s="22" t="str">
        <f>TEXT(WEEKDAY(DATE(CalendarYear,7,25),1),"ddd")</f>
        <v>vie</v>
      </c>
      <c r="AB7" s="22" t="str">
        <f>TEXT(WEEKDAY(DATE(CalendarYear,7,26),1),"ddd")</f>
        <v>sáb</v>
      </c>
      <c r="AC7" s="22" t="str">
        <f>TEXT(WEEKDAY(DATE(CalendarYear,7,27),1),"ddd")</f>
        <v>dom</v>
      </c>
      <c r="AD7" s="22" t="str">
        <f>TEXT(WEEKDAY(DATE(CalendarYear,7,28),1),"ddd")</f>
        <v>lun</v>
      </c>
      <c r="AE7" s="22" t="str">
        <f>TEXT(WEEKDAY(DATE(CalendarYear,7,29),1),"ddd")</f>
        <v>mar</v>
      </c>
      <c r="AF7" s="22" t="str">
        <f>TEXT(WEEKDAY(DATE(CalendarYear,7,30),1),"ddd")</f>
        <v>mié</v>
      </c>
      <c r="AG7" s="22" t="str">
        <f>TEXT(WEEKDAY(DATE(CalendarYear,7,31),1),"ddd")</f>
        <v>jue</v>
      </c>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23" t="s">
        <v>33</v>
      </c>
    </row>
    <row r="9" spans="2:34" ht="30" customHeight="1" x14ac:dyDescent="0.2">
      <c r="B9" s="2" t="s">
        <v>48</v>
      </c>
      <c r="C9" s="1"/>
      <c r="D9" s="1"/>
      <c r="E9" s="1"/>
      <c r="F9" s="1"/>
      <c r="G9" s="1" t="s">
        <v>56</v>
      </c>
      <c r="H9" s="1" t="s">
        <v>56</v>
      </c>
      <c r="I9" s="1"/>
      <c r="J9" s="1"/>
      <c r="K9" s="1"/>
      <c r="L9" s="1"/>
      <c r="M9" s="1"/>
      <c r="N9" s="1" t="s">
        <v>56</v>
      </c>
      <c r="O9" s="1" t="s">
        <v>56</v>
      </c>
      <c r="P9" s="1"/>
      <c r="Q9" s="1"/>
      <c r="R9" s="1"/>
      <c r="S9" s="1"/>
      <c r="T9" s="1"/>
      <c r="U9" s="1" t="s">
        <v>56</v>
      </c>
      <c r="V9" s="1" t="s">
        <v>56</v>
      </c>
      <c r="W9" s="1"/>
      <c r="X9" s="1"/>
      <c r="Y9" s="1"/>
      <c r="Z9" s="1"/>
      <c r="AA9" s="1"/>
      <c r="AB9" s="1" t="s">
        <v>56</v>
      </c>
      <c r="AC9" s="1" t="s">
        <v>56</v>
      </c>
      <c r="AD9" s="1"/>
      <c r="AE9" s="1"/>
      <c r="AF9" s="1"/>
      <c r="AG9" s="1"/>
      <c r="AH9" s="3">
        <f>COUNTA(Julio[[#This Row],[1]:[31]])</f>
        <v>8</v>
      </c>
    </row>
    <row r="10" spans="2:34" ht="30" customHeight="1" x14ac:dyDescent="0.2">
      <c r="B10" s="2" t="s">
        <v>49</v>
      </c>
      <c r="C10" s="1"/>
      <c r="D10" s="1"/>
      <c r="E10" s="1"/>
      <c r="F10" s="1"/>
      <c r="G10" s="1" t="s">
        <v>56</v>
      </c>
      <c r="H10" s="1" t="s">
        <v>56</v>
      </c>
      <c r="I10" s="1"/>
      <c r="J10" s="1"/>
      <c r="K10" s="1"/>
      <c r="L10" s="1"/>
      <c r="M10" s="1"/>
      <c r="N10" s="1" t="s">
        <v>56</v>
      </c>
      <c r="O10" s="1" t="s">
        <v>56</v>
      </c>
      <c r="P10" s="1"/>
      <c r="Q10" s="1"/>
      <c r="R10" s="1"/>
      <c r="S10" s="1"/>
      <c r="T10" s="1"/>
      <c r="U10" s="1" t="s">
        <v>56</v>
      </c>
      <c r="V10" s="1" t="s">
        <v>56</v>
      </c>
      <c r="W10" s="1"/>
      <c r="X10" s="1"/>
      <c r="Y10" s="1"/>
      <c r="Z10" s="1"/>
      <c r="AA10" s="1"/>
      <c r="AB10" s="1" t="s">
        <v>56</v>
      </c>
      <c r="AC10" s="1" t="s">
        <v>56</v>
      </c>
      <c r="AD10" s="1"/>
      <c r="AE10" s="1"/>
      <c r="AF10" s="1"/>
      <c r="AG10" s="1"/>
      <c r="AH10" s="3">
        <f>COUNTA(Julio[[#This Row],[1]:[31]])</f>
        <v>8</v>
      </c>
    </row>
    <row r="11" spans="2:34" ht="30" customHeight="1" x14ac:dyDescent="0.2">
      <c r="B11" s="2" t="s">
        <v>51</v>
      </c>
      <c r="C11" s="1"/>
      <c r="D11" s="1"/>
      <c r="E11" s="1"/>
      <c r="F11" s="1"/>
      <c r="G11" s="1" t="s">
        <v>56</v>
      </c>
      <c r="H11" s="1" t="s">
        <v>56</v>
      </c>
      <c r="I11" s="1"/>
      <c r="J11" s="1"/>
      <c r="K11" s="1"/>
      <c r="L11" s="1"/>
      <c r="M11" s="1"/>
      <c r="N11" s="1" t="s">
        <v>56</v>
      </c>
      <c r="O11" s="1" t="s">
        <v>56</v>
      </c>
      <c r="P11" s="1"/>
      <c r="Q11" s="1"/>
      <c r="R11" s="1"/>
      <c r="S11" s="1"/>
      <c r="T11" s="1"/>
      <c r="U11" s="1" t="s">
        <v>56</v>
      </c>
      <c r="V11" s="1" t="s">
        <v>56</v>
      </c>
      <c r="W11" s="1"/>
      <c r="X11" s="1"/>
      <c r="Y11" s="1"/>
      <c r="Z11" s="1"/>
      <c r="AA11" s="1"/>
      <c r="AB11" s="1" t="s">
        <v>56</v>
      </c>
      <c r="AC11" s="1" t="s">
        <v>56</v>
      </c>
      <c r="AD11" s="1"/>
      <c r="AE11" s="1"/>
      <c r="AF11" s="1"/>
      <c r="AG11" s="1"/>
      <c r="AH11" s="3">
        <f>COUNTA(Julio[[#This Row],[1]:[31]])</f>
        <v>8</v>
      </c>
    </row>
    <row r="12" spans="2:34" ht="30" customHeight="1" x14ac:dyDescent="0.2">
      <c r="B12" s="2" t="s">
        <v>52</v>
      </c>
      <c r="C12" s="1"/>
      <c r="D12" s="1"/>
      <c r="E12" s="1"/>
      <c r="F12" s="1"/>
      <c r="G12" s="1" t="s">
        <v>56</v>
      </c>
      <c r="H12" s="1" t="s">
        <v>56</v>
      </c>
      <c r="I12" s="1"/>
      <c r="J12" s="1"/>
      <c r="K12" s="1"/>
      <c r="L12" s="1"/>
      <c r="M12" s="1"/>
      <c r="N12" s="1" t="s">
        <v>56</v>
      </c>
      <c r="O12" s="1" t="s">
        <v>56</v>
      </c>
      <c r="P12" s="1"/>
      <c r="Q12" s="1"/>
      <c r="R12" s="1"/>
      <c r="S12" s="1"/>
      <c r="T12" s="1"/>
      <c r="U12" s="1" t="s">
        <v>56</v>
      </c>
      <c r="V12" s="1" t="s">
        <v>56</v>
      </c>
      <c r="W12" s="1"/>
      <c r="X12" s="1"/>
      <c r="Y12" s="1"/>
      <c r="Z12" s="1"/>
      <c r="AA12" s="1"/>
      <c r="AB12" s="1" t="s">
        <v>56</v>
      </c>
      <c r="AC12" s="1" t="s">
        <v>56</v>
      </c>
      <c r="AD12" s="1"/>
      <c r="AE12" s="1"/>
      <c r="AF12" s="1"/>
      <c r="AG12" s="1"/>
      <c r="AH12" s="3">
        <f>COUNTA(Julio[[#This Row],[1]:[31]])</f>
        <v>8</v>
      </c>
    </row>
    <row r="13" spans="2:34" ht="30" customHeight="1" x14ac:dyDescent="0.2">
      <c r="B13" s="2" t="s">
        <v>50</v>
      </c>
      <c r="C13" s="1"/>
      <c r="D13" s="1"/>
      <c r="E13" s="1"/>
      <c r="F13" s="1"/>
      <c r="G13" s="1" t="s">
        <v>56</v>
      </c>
      <c r="H13" s="1" t="s">
        <v>56</v>
      </c>
      <c r="I13" s="1"/>
      <c r="J13" s="1"/>
      <c r="K13" s="1"/>
      <c r="L13" s="1"/>
      <c r="M13" s="1"/>
      <c r="N13" s="1" t="s">
        <v>56</v>
      </c>
      <c r="O13" s="1" t="s">
        <v>56</v>
      </c>
      <c r="P13" s="1"/>
      <c r="Q13" s="1"/>
      <c r="R13" s="1"/>
      <c r="S13" s="1"/>
      <c r="T13" s="1"/>
      <c r="U13" s="1" t="s">
        <v>56</v>
      </c>
      <c r="V13" s="1" t="s">
        <v>56</v>
      </c>
      <c r="W13" s="1"/>
      <c r="X13" s="1"/>
      <c r="Y13" s="1"/>
      <c r="Z13" s="1"/>
      <c r="AA13" s="1"/>
      <c r="AB13" s="1" t="s">
        <v>56</v>
      </c>
      <c r="AC13" s="1" t="s">
        <v>56</v>
      </c>
      <c r="AD13" s="1"/>
      <c r="AE13" s="1"/>
      <c r="AF13" s="1"/>
      <c r="AG13" s="1"/>
      <c r="AH13" s="3">
        <f>COUNTA(Julio[[#This Row],[1]:[31]])</f>
        <v>8</v>
      </c>
    </row>
    <row r="14" spans="2: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SUBTOTAL(109,Julio[Total de días])</f>
        <v>40</v>
      </c>
    </row>
  </sheetData>
  <mergeCells count="6">
    <mergeCell ref="C6:AG6"/>
    <mergeCell ref="D4:F4"/>
    <mergeCell ref="H4:J4"/>
    <mergeCell ref="L4:N4"/>
    <mergeCell ref="P4:S4"/>
    <mergeCell ref="U4:X4"/>
  </mergeCells>
  <phoneticPr fontId="32" type="noConversion"/>
  <conditionalFormatting sqref="C9:F13 I9:M13 P9:T13 W9:AA13 AD9:AG13">
    <cfRule type="expression" priority="25" stopIfTrue="1">
      <formula>C9=""</formula>
    </cfRule>
    <cfRule type="expression" dxfId="144" priority="30" stopIfTrue="1">
      <formula>C9=KeyVacation</formula>
    </cfRule>
    <cfRule type="expression" dxfId="143" priority="29" stopIfTrue="1">
      <formula>C9=KeyPersonal</formula>
    </cfRule>
    <cfRule type="expression" dxfId="142" priority="28" stopIfTrue="1">
      <formula>C9=KeySick</formula>
    </cfRule>
    <cfRule type="expression" dxfId="141" priority="27" stopIfTrue="1">
      <formula>C9=KeyCustom1</formula>
    </cfRule>
    <cfRule type="expression" dxfId="140" priority="26" stopIfTrue="1">
      <formula>C9=KeyCustom2</formula>
    </cfRule>
  </conditionalFormatting>
  <conditionalFormatting sqref="G9:H13">
    <cfRule type="expression" dxfId="139" priority="24" stopIfTrue="1">
      <formula>G9=KeyVacation</formula>
    </cfRule>
    <cfRule type="expression" priority="19" stopIfTrue="1">
      <formula>G9=""</formula>
    </cfRule>
    <cfRule type="expression" dxfId="138" priority="20" stopIfTrue="1">
      <formula>G9=KeyCustom2</formula>
    </cfRule>
    <cfRule type="expression" dxfId="137" priority="21" stopIfTrue="1">
      <formula>G9=KeyCustom1</formula>
    </cfRule>
    <cfRule type="expression" dxfId="136" priority="22" stopIfTrue="1">
      <formula>G9=KeySick</formula>
    </cfRule>
    <cfRule type="expression" dxfId="135" priority="23" stopIfTrue="1">
      <formula>G9=KeyPersonal</formula>
    </cfRule>
  </conditionalFormatting>
  <conditionalFormatting sqref="N9:O13">
    <cfRule type="expression" dxfId="134" priority="14" stopIfTrue="1">
      <formula>N9=KeyCustom2</formula>
    </cfRule>
    <cfRule type="expression" dxfId="133" priority="15" stopIfTrue="1">
      <formula>N9=KeyCustom1</formula>
    </cfRule>
    <cfRule type="expression" dxfId="132" priority="16" stopIfTrue="1">
      <formula>N9=KeySick</formula>
    </cfRule>
    <cfRule type="expression" dxfId="131" priority="17" stopIfTrue="1">
      <formula>N9=KeyPersonal</formula>
    </cfRule>
    <cfRule type="expression" dxfId="130" priority="18" stopIfTrue="1">
      <formula>N9=KeyVacation</formula>
    </cfRule>
    <cfRule type="expression" priority="13" stopIfTrue="1">
      <formula>N9=""</formula>
    </cfRule>
  </conditionalFormatting>
  <conditionalFormatting sqref="U9:V13">
    <cfRule type="expression" dxfId="129" priority="8" stopIfTrue="1">
      <formula>U9=KeyCustom2</formula>
    </cfRule>
    <cfRule type="expression" dxfId="128" priority="9" stopIfTrue="1">
      <formula>U9=KeyCustom1</formula>
    </cfRule>
    <cfRule type="expression" dxfId="127" priority="10" stopIfTrue="1">
      <formula>U9=KeySick</formula>
    </cfRule>
    <cfRule type="expression" dxfId="126" priority="11" stopIfTrue="1">
      <formula>U9=KeyPersonal</formula>
    </cfRule>
    <cfRule type="expression" dxfId="125" priority="12" stopIfTrue="1">
      <formula>U9=KeyVacation</formula>
    </cfRule>
    <cfRule type="expression" priority="7" stopIfTrue="1">
      <formula>U9=""</formula>
    </cfRule>
  </conditionalFormatting>
  <conditionalFormatting sqref="AB9:AC13">
    <cfRule type="expression" priority="1" stopIfTrue="1">
      <formula>AB9=""</formula>
    </cfRule>
    <cfRule type="expression" dxfId="124" priority="6" stopIfTrue="1">
      <formula>AB9=KeyVacation</formula>
    </cfRule>
    <cfRule type="expression" dxfId="123" priority="5" stopIfTrue="1">
      <formula>AB9=KeyPersonal</formula>
    </cfRule>
    <cfRule type="expression" dxfId="122" priority="4" stopIfTrue="1">
      <formula>AB9=KeySick</formula>
    </cfRule>
    <cfRule type="expression" dxfId="121" priority="3" stopIfTrue="1">
      <formula>AB9=KeyCustom1</formula>
    </cfRule>
    <cfRule type="expression" dxfId="120" priority="2" stopIfTrue="1">
      <formula>AB9=KeyCustom2</formula>
    </cfRule>
  </conditionalFormatting>
  <conditionalFormatting sqref="AH9:AH13">
    <cfRule type="dataBar" priority="31">
      <dataBar>
        <cfvo type="min"/>
        <cfvo type="formula" val="DATEDIF(DATE(CalendarYear,2,1),DATE(CalendarYear,3,1),&quot;d&quot;)"/>
        <color theme="2" tint="-0.249977111117893"/>
      </dataBar>
      <extLst>
        <ext xmlns:x14="http://schemas.microsoft.com/office/spreadsheetml/2009/9/main" uri="{B025F937-C7B1-47D3-B67F-A62EFF666E3E}">
          <x14:id>{E0DCF129-9B2A-4CEB-9E56-27607F4BED20}</x14:id>
        </ext>
      </extLst>
    </cfRule>
  </conditionalFormatting>
  <dataValidations count="15">
    <dataValidation allowBlank="1" showInputMessage="1" showErrorMessage="1" prompt="Los días del mes se generan automáticamente en esta fila. Especifique la ausencia del empleado y el tipo en cada columna para cada día del mes. En blanco significa que no hay ninguna ausencia" sqref="C8" xr:uid="{03C1A45F-45B9-C64C-AB94-81563D673730}"/>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600-000001000000}"/>
    <dataValidation allowBlank="1" showInputMessage="1" showErrorMessage="1" prompt="Escriba una etiqueta para describir la clave personalizada de la izquierda." sqref="U4 P4" xr:uid="{7E30D1D9-A499-49CA-A6E3-9E7639E74897}"/>
    <dataValidation allowBlank="1" showInputMessage="1" showErrorMessage="1" prompt="Escriba una letra y personalice la etiqueta de la derecha para agregar otro elemento clave." sqref="O4 T4" xr:uid="{1BB04B18-EFE7-4C9A-A3F6-BEA5CAAFEBE5}"/>
    <dataValidation allowBlank="1" showInputMessage="1" showErrorMessage="1" prompt="La letra “E” indica una ausencia por enfermedad" sqref="K4" xr:uid="{BAC68515-CFD0-4606-BA98-EBE5DA6F94FD}"/>
    <dataValidation allowBlank="1" showInputMessage="1" showErrorMessage="1" prompt="La letra “P” indica una ausencia por motivos personales" sqref="G4" xr:uid="{46B727F3-B9F7-4DEC-85BE-28CBD912E93D}"/>
    <dataValidation allowBlank="1" showInputMessage="1" showErrorMessage="1" prompt="La letra “V” indica una ausencia por vacaciones" sqref="C4" xr:uid="{61FE6E05-0F57-4C7E-B191-0AB480CF1DC3}"/>
    <dataValidation allowBlank="1" showInputMessage="1" showErrorMessage="1" prompt="El título se actualiza automáticamente en esta celda. Para modificarlo, actualice la celda B1 en la hoja de cálculo de enero" sqref="B2" xr:uid="{00000000-0002-0000-0600-000008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52CE7097-F69B-4CD1-AE71-1632EDA98D6D}"/>
    <dataValidation allowBlank="1" showInputMessage="1" showErrorMessage="1" prompt="Realice un seguimiento de las ausencias de julio en esta hoja de cálculo." sqref="A1" xr:uid="{00000000-0002-0000-0600-00000A000000}"/>
    <dataValidation allowBlank="1" showInputMessage="1" showErrorMessage="1" prompt="Cálculo automático del número total de días que un empleado ha estado ausente este mes en esta columna" sqref="AH8" xr:uid="{7EEB97FE-C4E8-0B42-8F26-4ACE0C358EA5}"/>
    <dataValidation allowBlank="1" showInputMessage="1" showErrorMessage="1" prompt="Año actualizado automáticamente en función del año introducido en la hoja de cálculo de enero" sqref="AH6" xr:uid="{00000000-0002-0000-0600-00000C000000}"/>
    <dataValidation allowBlank="1" showInputMessage="1" showErrorMessage="1" prompt="Los días laborables en esta fila se actualizan automáticamente durante el mes según el año en AH4. Cada día del mes es una columna para indicar la ausencia del empleado y el tipo de ausencia" sqref="C7" xr:uid="{956AA00F-FA3E-EE4C-BC75-65E8AA2EA95F}"/>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6E3C0F44-F376-48C0-B15C-A5CF657868AF}"/>
    <dataValidation allowBlank="1" showInputMessage="1" showErrorMessage="1" prompt="Esta celda contiene el título de la hoja de cálculo. " sqref="B1" xr:uid="{687DF95A-B1DF-42B2-B314-0EBF25454065}"/>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E0DCF129-9B2A-4CEB-9E56-27607F4BED20}">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E000000}">
          <x14:formula1>
            <xm:f>'Integrantes del equipo'!$B$4:$B$8</xm:f>
          </x14:formula1>
          <xm:sqref>B9:B13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pageSetUpPr fitToPage="1"/>
  </sheetPr>
  <dimension ref="B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30" t="s">
        <v>42</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TEXT(WEEKDAY(DATE(CalendarYear,8,1),1),"ddd")</f>
        <v>vie</v>
      </c>
      <c r="D7" s="22" t="str">
        <f>TEXT(WEEKDAY(DATE(CalendarYear,8,2),1),"ddd")</f>
        <v>sáb</v>
      </c>
      <c r="E7" s="22" t="str">
        <f>TEXT(WEEKDAY(DATE(CalendarYear,8,3),1),"ddd")</f>
        <v>dom</v>
      </c>
      <c r="F7" s="22" t="str">
        <f>TEXT(WEEKDAY(DATE(CalendarYear,8,4),1),"ddd")</f>
        <v>lun</v>
      </c>
      <c r="G7" s="22" t="str">
        <f>TEXT(WEEKDAY(DATE(CalendarYear,8,5),1),"ddd")</f>
        <v>mar</v>
      </c>
      <c r="H7" s="22" t="str">
        <f>TEXT(WEEKDAY(DATE(CalendarYear,8,6),1),"ddd")</f>
        <v>mié</v>
      </c>
      <c r="I7" s="22" t="str">
        <f>TEXT(WEEKDAY(DATE(CalendarYear,8,7),1),"ddd")</f>
        <v>jue</v>
      </c>
      <c r="J7" s="22" t="str">
        <f>TEXT(WEEKDAY(DATE(CalendarYear,8,8),1),"ddd")</f>
        <v>vie</v>
      </c>
      <c r="K7" s="22" t="str">
        <f>TEXT(WEEKDAY(DATE(CalendarYear,8,9),1),"ddd")</f>
        <v>sáb</v>
      </c>
      <c r="L7" s="22" t="str">
        <f>TEXT(WEEKDAY(DATE(CalendarYear,8,10),1),"ddd")</f>
        <v>dom</v>
      </c>
      <c r="M7" s="22" t="str">
        <f>TEXT(WEEKDAY(DATE(CalendarYear,8,11),1),"ddd")</f>
        <v>lun</v>
      </c>
      <c r="N7" s="22" t="str">
        <f>TEXT(WEEKDAY(DATE(CalendarYear,8,12),1),"ddd")</f>
        <v>mar</v>
      </c>
      <c r="O7" s="22" t="str">
        <f>TEXT(WEEKDAY(DATE(CalendarYear,8,13),1),"ddd")</f>
        <v>mié</v>
      </c>
      <c r="P7" s="22" t="str">
        <f>TEXT(WEEKDAY(DATE(CalendarYear,8,14),1),"ddd")</f>
        <v>jue</v>
      </c>
      <c r="Q7" s="22" t="str">
        <f>TEXT(WEEKDAY(DATE(CalendarYear,8,15),1),"ddd")</f>
        <v>vie</v>
      </c>
      <c r="R7" s="22" t="str">
        <f>TEXT(WEEKDAY(DATE(CalendarYear,8,16),1),"ddd")</f>
        <v>sáb</v>
      </c>
      <c r="S7" s="22" t="str">
        <f>TEXT(WEEKDAY(DATE(CalendarYear,8,17),1),"ddd")</f>
        <v>dom</v>
      </c>
      <c r="T7" s="22" t="str">
        <f>TEXT(WEEKDAY(DATE(CalendarYear,8,18),1),"ddd")</f>
        <v>lun</v>
      </c>
      <c r="U7" s="22" t="str">
        <f>TEXT(WEEKDAY(DATE(CalendarYear,8,19),1),"ddd")</f>
        <v>mar</v>
      </c>
      <c r="V7" s="22" t="str">
        <f>TEXT(WEEKDAY(DATE(CalendarYear,8,20),1),"ddd")</f>
        <v>mié</v>
      </c>
      <c r="W7" s="22" t="str">
        <f>TEXT(WEEKDAY(DATE(CalendarYear,8,21),1),"ddd")</f>
        <v>jue</v>
      </c>
      <c r="X7" s="22" t="str">
        <f>TEXT(WEEKDAY(DATE(CalendarYear,8,22),1),"ddd")</f>
        <v>vie</v>
      </c>
      <c r="Y7" s="22" t="str">
        <f>TEXT(WEEKDAY(DATE(CalendarYear,8,23),1),"ddd")</f>
        <v>sáb</v>
      </c>
      <c r="Z7" s="22" t="str">
        <f>TEXT(WEEKDAY(DATE(CalendarYear,8,24),1),"ddd")</f>
        <v>dom</v>
      </c>
      <c r="AA7" s="22" t="str">
        <f>TEXT(WEEKDAY(DATE(CalendarYear,8,25),1),"ddd")</f>
        <v>lun</v>
      </c>
      <c r="AB7" s="22" t="str">
        <f>TEXT(WEEKDAY(DATE(CalendarYear,8,26),1),"ddd")</f>
        <v>mar</v>
      </c>
      <c r="AC7" s="22" t="str">
        <f>TEXT(WEEKDAY(DATE(CalendarYear,8,27),1),"ddd")</f>
        <v>mié</v>
      </c>
      <c r="AD7" s="22" t="str">
        <f>TEXT(WEEKDAY(DATE(CalendarYear,8,28),1),"ddd")</f>
        <v>jue</v>
      </c>
      <c r="AE7" s="22" t="str">
        <f>TEXT(WEEKDAY(DATE(CalendarYear,8,29),1),"ddd")</f>
        <v>vie</v>
      </c>
      <c r="AF7" s="22" t="str">
        <f>TEXT(WEEKDAY(DATE(CalendarYear,8,30),1),"ddd")</f>
        <v>sáb</v>
      </c>
      <c r="AG7" s="22" t="str">
        <f>TEXT(WEEKDAY(DATE(CalendarYear,8,31),1),"ddd")</f>
        <v>dom</v>
      </c>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23" t="s">
        <v>33</v>
      </c>
    </row>
    <row r="9" spans="2:34" ht="30" customHeight="1" x14ac:dyDescent="0.2">
      <c r="B9" s="2" t="s">
        <v>48</v>
      </c>
      <c r="C9" s="1"/>
      <c r="D9" s="1" t="s">
        <v>56</v>
      </c>
      <c r="E9" s="1" t="s">
        <v>56</v>
      </c>
      <c r="F9" s="1"/>
      <c r="G9" s="1"/>
      <c r="H9" s="1"/>
      <c r="I9" s="1"/>
      <c r="J9" s="1"/>
      <c r="K9" s="1" t="s">
        <v>56</v>
      </c>
      <c r="L9" s="1" t="s">
        <v>56</v>
      </c>
      <c r="M9" s="1"/>
      <c r="N9" s="1"/>
      <c r="O9" s="1"/>
      <c r="P9" s="1"/>
      <c r="Q9" s="1"/>
      <c r="R9" s="1" t="s">
        <v>56</v>
      </c>
      <c r="S9" s="1" t="s">
        <v>56</v>
      </c>
      <c r="T9" s="1"/>
      <c r="U9" s="1"/>
      <c r="V9" s="1"/>
      <c r="W9" s="1"/>
      <c r="X9" s="1"/>
      <c r="Y9" s="1" t="s">
        <v>56</v>
      </c>
      <c r="Z9" s="1" t="s">
        <v>56</v>
      </c>
      <c r="AA9" s="1"/>
      <c r="AB9" s="1"/>
      <c r="AC9" s="1"/>
      <c r="AD9" s="1"/>
      <c r="AE9" s="1"/>
      <c r="AF9" s="1" t="s">
        <v>56</v>
      </c>
      <c r="AG9" s="1" t="s">
        <v>56</v>
      </c>
      <c r="AH9" s="3">
        <f>COUNTA(Agosto[[#This Row],[1]:[31]])</f>
        <v>10</v>
      </c>
    </row>
    <row r="10" spans="2:34" ht="30" customHeight="1" x14ac:dyDescent="0.2">
      <c r="B10" s="2" t="s">
        <v>49</v>
      </c>
      <c r="C10" s="1"/>
      <c r="D10" s="1" t="s">
        <v>56</v>
      </c>
      <c r="E10" s="1" t="s">
        <v>56</v>
      </c>
      <c r="F10" s="1"/>
      <c r="G10" s="1"/>
      <c r="H10" s="1"/>
      <c r="I10" s="1"/>
      <c r="J10" s="1"/>
      <c r="K10" s="1" t="s">
        <v>56</v>
      </c>
      <c r="L10" s="1" t="s">
        <v>56</v>
      </c>
      <c r="M10" s="1"/>
      <c r="N10" s="1"/>
      <c r="O10" s="1"/>
      <c r="P10" s="1"/>
      <c r="Q10" s="1"/>
      <c r="R10" s="1" t="s">
        <v>56</v>
      </c>
      <c r="S10" s="1" t="s">
        <v>56</v>
      </c>
      <c r="T10" s="1"/>
      <c r="U10" s="1"/>
      <c r="V10" s="1"/>
      <c r="W10" s="1"/>
      <c r="X10" s="1"/>
      <c r="Y10" s="1" t="s">
        <v>56</v>
      </c>
      <c r="Z10" s="1" t="s">
        <v>56</v>
      </c>
      <c r="AA10" s="1"/>
      <c r="AB10" s="1"/>
      <c r="AC10" s="1"/>
      <c r="AD10" s="1"/>
      <c r="AE10" s="1"/>
      <c r="AF10" s="1" t="s">
        <v>56</v>
      </c>
      <c r="AG10" s="1" t="s">
        <v>56</v>
      </c>
      <c r="AH10" s="3">
        <f>COUNTA(Agosto[[#This Row],[1]:[31]])</f>
        <v>10</v>
      </c>
    </row>
    <row r="11" spans="2:34" ht="30" customHeight="1" x14ac:dyDescent="0.2">
      <c r="B11" s="2" t="s">
        <v>51</v>
      </c>
      <c r="C11" s="1"/>
      <c r="D11" s="1" t="s">
        <v>56</v>
      </c>
      <c r="E11" s="1" t="s">
        <v>56</v>
      </c>
      <c r="F11" s="1"/>
      <c r="G11" s="1"/>
      <c r="H11" s="1"/>
      <c r="I11" s="1"/>
      <c r="J11" s="1"/>
      <c r="K11" s="1" t="s">
        <v>56</v>
      </c>
      <c r="L11" s="1" t="s">
        <v>56</v>
      </c>
      <c r="M11" s="1"/>
      <c r="N11" s="1"/>
      <c r="O11" s="1"/>
      <c r="P11" s="1"/>
      <c r="Q11" s="1"/>
      <c r="R11" s="1" t="s">
        <v>56</v>
      </c>
      <c r="S11" s="1" t="s">
        <v>56</v>
      </c>
      <c r="T11" s="1"/>
      <c r="U11" s="1"/>
      <c r="V11" s="1"/>
      <c r="W11" s="1"/>
      <c r="X11" s="1"/>
      <c r="Y11" s="1" t="s">
        <v>56</v>
      </c>
      <c r="Z11" s="1" t="s">
        <v>56</v>
      </c>
      <c r="AA11" s="1"/>
      <c r="AB11" s="1"/>
      <c r="AC11" s="1"/>
      <c r="AD11" s="1"/>
      <c r="AE11" s="1"/>
      <c r="AF11" s="1" t="s">
        <v>56</v>
      </c>
      <c r="AG11" s="1" t="s">
        <v>56</v>
      </c>
      <c r="AH11" s="3">
        <f>COUNTA(Agosto[[#This Row],[1]:[31]])</f>
        <v>10</v>
      </c>
    </row>
    <row r="12" spans="2:34" ht="30" customHeight="1" x14ac:dyDescent="0.2">
      <c r="B12" s="2" t="s">
        <v>52</v>
      </c>
      <c r="C12" s="1"/>
      <c r="D12" s="1" t="s">
        <v>56</v>
      </c>
      <c r="E12" s="1" t="s">
        <v>56</v>
      </c>
      <c r="F12" s="1"/>
      <c r="G12" s="1"/>
      <c r="H12" s="1"/>
      <c r="I12" s="1"/>
      <c r="J12" s="1"/>
      <c r="K12" s="1" t="s">
        <v>56</v>
      </c>
      <c r="L12" s="1" t="s">
        <v>56</v>
      </c>
      <c r="M12" s="1"/>
      <c r="N12" s="1"/>
      <c r="O12" s="1"/>
      <c r="P12" s="1"/>
      <c r="Q12" s="1"/>
      <c r="R12" s="1" t="s">
        <v>56</v>
      </c>
      <c r="S12" s="1" t="s">
        <v>56</v>
      </c>
      <c r="T12" s="1"/>
      <c r="U12" s="1"/>
      <c r="V12" s="1"/>
      <c r="W12" s="1"/>
      <c r="X12" s="1"/>
      <c r="Y12" s="1" t="s">
        <v>56</v>
      </c>
      <c r="Z12" s="1" t="s">
        <v>56</v>
      </c>
      <c r="AA12" s="1"/>
      <c r="AB12" s="1"/>
      <c r="AC12" s="1"/>
      <c r="AD12" s="1"/>
      <c r="AE12" s="1"/>
      <c r="AF12" s="1" t="s">
        <v>56</v>
      </c>
      <c r="AG12" s="1" t="s">
        <v>56</v>
      </c>
      <c r="AH12" s="3">
        <f>COUNTA(Agosto[[#This Row],[1]:[31]])</f>
        <v>10</v>
      </c>
    </row>
    <row r="13" spans="2:34" ht="30" customHeight="1" x14ac:dyDescent="0.2">
      <c r="B13" s="2" t="s">
        <v>50</v>
      </c>
      <c r="C13" s="1"/>
      <c r="D13" s="1" t="s">
        <v>56</v>
      </c>
      <c r="E13" s="1" t="s">
        <v>56</v>
      </c>
      <c r="F13" s="1"/>
      <c r="G13" s="1"/>
      <c r="H13" s="1"/>
      <c r="I13" s="1"/>
      <c r="J13" s="1"/>
      <c r="K13" s="1" t="s">
        <v>56</v>
      </c>
      <c r="L13" s="1" t="s">
        <v>56</v>
      </c>
      <c r="M13" s="1"/>
      <c r="N13" s="1"/>
      <c r="O13" s="1"/>
      <c r="P13" s="1"/>
      <c r="Q13" s="1"/>
      <c r="R13" s="1" t="s">
        <v>56</v>
      </c>
      <c r="S13" s="1" t="s">
        <v>56</v>
      </c>
      <c r="T13" s="1"/>
      <c r="U13" s="1"/>
      <c r="V13" s="1"/>
      <c r="W13" s="1"/>
      <c r="X13" s="1"/>
      <c r="Y13" s="1" t="s">
        <v>56</v>
      </c>
      <c r="Z13" s="1" t="s">
        <v>56</v>
      </c>
      <c r="AA13" s="1"/>
      <c r="AB13" s="1"/>
      <c r="AC13" s="1"/>
      <c r="AD13" s="1"/>
      <c r="AE13" s="1"/>
      <c r="AF13" s="1" t="s">
        <v>56</v>
      </c>
      <c r="AG13" s="1" t="s">
        <v>56</v>
      </c>
      <c r="AH13" s="3">
        <f>COUNTA(Agosto[[#This Row],[1]:[31]])</f>
        <v>10</v>
      </c>
    </row>
    <row r="14" spans="2: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SUBTOTAL(109,Agosto[Total de días])</f>
        <v>50</v>
      </c>
    </row>
  </sheetData>
  <mergeCells count="6">
    <mergeCell ref="C6:AG6"/>
    <mergeCell ref="D4:F4"/>
    <mergeCell ref="H4:J4"/>
    <mergeCell ref="L4:N4"/>
    <mergeCell ref="P4:S4"/>
    <mergeCell ref="U4:X4"/>
  </mergeCells>
  <phoneticPr fontId="32" type="noConversion"/>
  <conditionalFormatting sqref="C9:C13 F9:J13 M9:Q13 T9:X13 AA9:AE13">
    <cfRule type="expression" priority="31" stopIfTrue="1">
      <formula>C9=""</formula>
    </cfRule>
    <cfRule type="expression" dxfId="119" priority="36" stopIfTrue="1">
      <formula>C9=KeyVacation</formula>
    </cfRule>
    <cfRule type="expression" dxfId="118" priority="35" stopIfTrue="1">
      <formula>C9=KeyPersonal</formula>
    </cfRule>
    <cfRule type="expression" dxfId="117" priority="34" stopIfTrue="1">
      <formula>C9=KeySick</formula>
    </cfRule>
    <cfRule type="expression" dxfId="116" priority="33" stopIfTrue="1">
      <formula>C9=KeyCustom1</formula>
    </cfRule>
    <cfRule type="expression" dxfId="115" priority="32" stopIfTrue="1">
      <formula>C9=KeyCustom2</formula>
    </cfRule>
  </conditionalFormatting>
  <conditionalFormatting sqref="D9:E13">
    <cfRule type="expression" dxfId="114" priority="30" stopIfTrue="1">
      <formula>D9=KeyVacation</formula>
    </cfRule>
    <cfRule type="expression" priority="25" stopIfTrue="1">
      <formula>D9=""</formula>
    </cfRule>
    <cfRule type="expression" dxfId="113" priority="26" stopIfTrue="1">
      <formula>D9=KeyCustom2</formula>
    </cfRule>
    <cfRule type="expression" dxfId="112" priority="27" stopIfTrue="1">
      <formula>D9=KeyCustom1</formula>
    </cfRule>
    <cfRule type="expression" dxfId="111" priority="28" stopIfTrue="1">
      <formula>D9=KeySick</formula>
    </cfRule>
    <cfRule type="expression" dxfId="110" priority="29" stopIfTrue="1">
      <formula>D9=KeyPersonal</formula>
    </cfRule>
  </conditionalFormatting>
  <conditionalFormatting sqref="K9:L13">
    <cfRule type="expression" priority="19" stopIfTrue="1">
      <formula>K9=""</formula>
    </cfRule>
    <cfRule type="expression" dxfId="109" priority="20" stopIfTrue="1">
      <formula>K9=KeyCustom2</formula>
    </cfRule>
    <cfRule type="expression" dxfId="108" priority="21" stopIfTrue="1">
      <formula>K9=KeyCustom1</formula>
    </cfRule>
    <cfRule type="expression" dxfId="107" priority="22" stopIfTrue="1">
      <formula>K9=KeySick</formula>
    </cfRule>
    <cfRule type="expression" dxfId="106" priority="23" stopIfTrue="1">
      <formula>K9=KeyPersonal</formula>
    </cfRule>
    <cfRule type="expression" dxfId="105" priority="24" stopIfTrue="1">
      <formula>K9=KeyVacation</formula>
    </cfRule>
  </conditionalFormatting>
  <conditionalFormatting sqref="R9:S13">
    <cfRule type="expression" priority="13" stopIfTrue="1">
      <formula>R9=""</formula>
    </cfRule>
    <cfRule type="expression" dxfId="104" priority="14" stopIfTrue="1">
      <formula>R9=KeyCustom2</formula>
    </cfRule>
    <cfRule type="expression" dxfId="103" priority="15" stopIfTrue="1">
      <formula>R9=KeyCustom1</formula>
    </cfRule>
    <cfRule type="expression" dxfId="102" priority="17" stopIfTrue="1">
      <formula>R9=KeyPersonal</formula>
    </cfRule>
    <cfRule type="expression" dxfId="101" priority="18" stopIfTrue="1">
      <formula>R9=KeyVacation</formula>
    </cfRule>
    <cfRule type="expression" dxfId="100" priority="16" stopIfTrue="1">
      <formula>R9=KeySick</formula>
    </cfRule>
  </conditionalFormatting>
  <conditionalFormatting sqref="Y9:Z13">
    <cfRule type="expression" dxfId="99" priority="8" stopIfTrue="1">
      <formula>Y9=KeyCustom2</formula>
    </cfRule>
    <cfRule type="expression" dxfId="98" priority="9" stopIfTrue="1">
      <formula>Y9=KeyCustom1</formula>
    </cfRule>
    <cfRule type="expression" dxfId="97" priority="10" stopIfTrue="1">
      <formula>Y9=KeySick</formula>
    </cfRule>
    <cfRule type="expression" dxfId="96" priority="11" stopIfTrue="1">
      <formula>Y9=KeyPersonal</formula>
    </cfRule>
    <cfRule type="expression" dxfId="95" priority="12" stopIfTrue="1">
      <formula>Y9=KeyVacation</formula>
    </cfRule>
    <cfRule type="expression" priority="7" stopIfTrue="1">
      <formula>Y9=""</formula>
    </cfRule>
  </conditionalFormatting>
  <conditionalFormatting sqref="AF9:AG13">
    <cfRule type="expression" priority="1" stopIfTrue="1">
      <formula>AF9=""</formula>
    </cfRule>
    <cfRule type="expression" dxfId="94" priority="6" stopIfTrue="1">
      <formula>AF9=KeyVacation</formula>
    </cfRule>
    <cfRule type="expression" dxfId="93" priority="5" stopIfTrue="1">
      <formula>AF9=KeyPersonal</formula>
    </cfRule>
    <cfRule type="expression" dxfId="92" priority="4" stopIfTrue="1">
      <formula>AF9=KeySick</formula>
    </cfRule>
    <cfRule type="expression" dxfId="91" priority="3" stopIfTrue="1">
      <formula>AF9=KeyCustom1</formula>
    </cfRule>
    <cfRule type="expression" dxfId="90" priority="2" stopIfTrue="1">
      <formula>AF9=KeyCustom2</formula>
    </cfRule>
  </conditionalFormatting>
  <conditionalFormatting sqref="AH9:AH13">
    <cfRule type="dataBar" priority="37">
      <dataBar>
        <cfvo type="min"/>
        <cfvo type="formula" val="DATEDIF(DATE(CalendarYear,2,1),DATE(CalendarYear,3,1),&quot;d&quot;)"/>
        <color theme="2" tint="-0.249977111117893"/>
      </dataBar>
      <extLst>
        <ext xmlns:x14="http://schemas.microsoft.com/office/spreadsheetml/2009/9/main" uri="{B025F937-C7B1-47D3-B67F-A62EFF666E3E}">
          <x14:id>{09900229-9536-43AB-AAE0-FC121BDECD61}</x14:id>
        </ext>
      </extLst>
    </cfRule>
  </conditionalFormatting>
  <dataValidations count="15">
    <dataValidation allowBlank="1" showInputMessage="1" showErrorMessage="1" prompt="Los días laborables en esta fila se actualizan automáticamente durante el mes según el año en AH4. Cada día del mes es una columna para indicar la ausencia del empleado y el tipo de ausencia" sqref="C7" xr:uid="{C31066D8-39EA-EB48-A883-D56040D3EA81}"/>
    <dataValidation allowBlank="1" showInputMessage="1" showErrorMessage="1" prompt="Año actualizado automáticamente en función del año introducido en la hoja de cálculo de enero" sqref="AH6" xr:uid="{4F3A1A67-5AD0-224A-B9EB-2AA94773859B}"/>
    <dataValidation allowBlank="1" showInputMessage="1" showErrorMessage="1" prompt="Cálculo automático del número total de días que un empleado ha estado ausente este mes en esta columna" sqref="AH8" xr:uid="{AC80500B-13F9-964F-8855-BCABB1C8AF13}"/>
    <dataValidation allowBlank="1" showInputMessage="1" showErrorMessage="1" prompt="Realice un seguimiento de las ausencias de agosto en esta hoja de cálculo." sqref="A1" xr:uid="{00000000-0002-0000-0700-000003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A617B08E-482B-47F8-9361-0CF1DE316F4B}"/>
    <dataValidation allowBlank="1" showInputMessage="1" showErrorMessage="1" prompt="El título se actualiza automáticamente en esta celda. Para modificarlo, actualice la celda B1 en la hoja de cálculo de enero" sqref="B2" xr:uid="{00000000-0002-0000-0700-000005000000}"/>
    <dataValidation allowBlank="1" showInputMessage="1" showErrorMessage="1" prompt="La letra “V” indica una ausencia por vacaciones" sqref="C4" xr:uid="{10D74D5D-3EB1-43C0-8FF8-C11063DBC60C}"/>
    <dataValidation allowBlank="1" showInputMessage="1" showErrorMessage="1" prompt="La letra “P” indica una ausencia por motivos personales" sqref="G4" xr:uid="{6E141745-D63F-4748-8957-C80A85A76314}"/>
    <dataValidation allowBlank="1" showInputMessage="1" showErrorMessage="1" prompt="La letra “E” indica una ausencia por enfermedad" sqref="K4" xr:uid="{45330A8B-3EAE-4A07-8E12-10C1CD2E3CE1}"/>
    <dataValidation allowBlank="1" showInputMessage="1" showErrorMessage="1" prompt="Escriba una letra y personalice la etiqueta de la derecha para agregar otro elemento clave." sqref="O4 T4" xr:uid="{3FE12097-3CC2-4A6D-B7EE-2145893A2E35}"/>
    <dataValidation allowBlank="1" showInputMessage="1" showErrorMessage="1" prompt="Escriba una etiqueta para describir la clave personalizada de la izquierda." sqref="U4 P4" xr:uid="{C9F72F06-CAA4-4776-ACFB-E7D6AD5B1541}"/>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700-00000C000000}"/>
    <dataValidation allowBlank="1" showInputMessage="1" showErrorMessage="1" prompt="Los días del mes se generan automáticamente en esta fila. Especifique la ausencia del empleado y el tipo en cada columna para cada día del mes. En blanco significa que no hay ninguna ausencia" sqref="C8" xr:uid="{ACF8EA0E-6010-5D46-9524-6055BFC9D4A3}"/>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CD2D0F0C-ED05-4780-BFC3-C1B1674BA1D8}"/>
    <dataValidation allowBlank="1" showInputMessage="1" showErrorMessage="1" prompt="Esta celda contiene el título de la hoja de cálculo. " sqref="B1" xr:uid="{754AD801-398E-45BA-8FBC-458AEF1FF919}"/>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09900229-9536-43AB-AAE0-FC121BDECD61}">
            <x14:dataBar minLength="0" maxLength="100">
              <x14:cfvo type="autoMin"/>
              <x14:cfvo type="formula">
                <xm:f>DATEDIF(DATE(CalendarYear,2,1),DATE(CalendarYear,3,1),"d")</xm:f>
              </x14:cfvo>
              <x14:negativeFillColor rgb="FFFF0000"/>
              <x14:axisColor rgb="FF000000"/>
            </x14:dataBar>
          </x14:cfRule>
          <xm:sqref>AH9:AH13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E000000}">
          <x14:formula1>
            <xm:f>'Integrantes del equipo'!$B$4:$B$8</xm:f>
          </x14:formula1>
          <xm:sqref>B9:B13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pageSetUpPr fitToPage="1"/>
  </sheetPr>
  <dimension ref="B1:AH14"/>
  <sheetViews>
    <sheetView showGridLines="0" zoomScaleNormal="100" workbookViewId="0">
      <selection activeCell="C4" sqref="C4:J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29" t="s">
        <v>43</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TEXT(WEEKDAY(DATE(CalendarYear,9,1),1),"ddd")</f>
        <v>lun</v>
      </c>
      <c r="D7" s="22" t="str">
        <f>TEXT(WEEKDAY(DATE(CalendarYear,9,2),1),"ddd")</f>
        <v>mar</v>
      </c>
      <c r="E7" s="22" t="str">
        <f>TEXT(WEEKDAY(DATE(CalendarYear,9,3),1),"ddd")</f>
        <v>mié</v>
      </c>
      <c r="F7" s="22" t="str">
        <f>TEXT(WEEKDAY(DATE(CalendarYear,9,4),1),"ddd")</f>
        <v>jue</v>
      </c>
      <c r="G7" s="22" t="str">
        <f>TEXT(WEEKDAY(DATE(CalendarYear,9,5),1),"ddd")</f>
        <v>vie</v>
      </c>
      <c r="H7" s="22" t="str">
        <f>TEXT(WEEKDAY(DATE(CalendarYear,9,6),1),"ddd")</f>
        <v>sáb</v>
      </c>
      <c r="I7" s="22" t="str">
        <f>TEXT(WEEKDAY(DATE(CalendarYear,9,7),1),"ddd")</f>
        <v>dom</v>
      </c>
      <c r="J7" s="22" t="str">
        <f>TEXT(WEEKDAY(DATE(CalendarYear,9,8),1),"ddd")</f>
        <v>lun</v>
      </c>
      <c r="K7" s="22" t="str">
        <f>TEXT(WEEKDAY(DATE(CalendarYear,9,9),1),"ddd")</f>
        <v>mar</v>
      </c>
      <c r="L7" s="22" t="str">
        <f>TEXT(WEEKDAY(DATE(CalendarYear,9,10),1),"ddd")</f>
        <v>mié</v>
      </c>
      <c r="M7" s="22" t="str">
        <f>TEXT(WEEKDAY(DATE(CalendarYear,9,11),1),"ddd")</f>
        <v>jue</v>
      </c>
      <c r="N7" s="22" t="str">
        <f>TEXT(WEEKDAY(DATE(CalendarYear,9,12),1),"ddd")</f>
        <v>vie</v>
      </c>
      <c r="O7" s="22" t="str">
        <f>TEXT(WEEKDAY(DATE(CalendarYear,9,13),1),"ddd")</f>
        <v>sáb</v>
      </c>
      <c r="P7" s="22" t="str">
        <f>TEXT(WEEKDAY(DATE(CalendarYear,9,14),1),"ddd")</f>
        <v>dom</v>
      </c>
      <c r="Q7" s="22" t="str">
        <f>TEXT(WEEKDAY(DATE(CalendarYear,9,15),1),"ddd")</f>
        <v>lun</v>
      </c>
      <c r="R7" s="22" t="str">
        <f>TEXT(WEEKDAY(DATE(CalendarYear,9,16),1),"ddd")</f>
        <v>mar</v>
      </c>
      <c r="S7" s="22" t="str">
        <f>TEXT(WEEKDAY(DATE(CalendarYear,9,17),1),"ddd")</f>
        <v>mié</v>
      </c>
      <c r="T7" s="22" t="str">
        <f>TEXT(WEEKDAY(DATE(CalendarYear,9,18),1),"ddd")</f>
        <v>jue</v>
      </c>
      <c r="U7" s="22" t="str">
        <f>TEXT(WEEKDAY(DATE(CalendarYear,9,19),1),"ddd")</f>
        <v>vie</v>
      </c>
      <c r="V7" s="22" t="str">
        <f>TEXT(WEEKDAY(DATE(CalendarYear,9,20),1),"ddd")</f>
        <v>sáb</v>
      </c>
      <c r="W7" s="22" t="str">
        <f>TEXT(WEEKDAY(DATE(CalendarYear,9,21),1),"ddd")</f>
        <v>dom</v>
      </c>
      <c r="X7" s="22" t="str">
        <f>TEXT(WEEKDAY(DATE(CalendarYear,9,22),1),"ddd")</f>
        <v>lun</v>
      </c>
      <c r="Y7" s="22" t="str">
        <f>TEXT(WEEKDAY(DATE(CalendarYear,9,23),1),"ddd")</f>
        <v>mar</v>
      </c>
      <c r="Z7" s="22" t="str">
        <f>TEXT(WEEKDAY(DATE(CalendarYear,9,24),1),"ddd")</f>
        <v>mié</v>
      </c>
      <c r="AA7" s="22" t="str">
        <f>TEXT(WEEKDAY(DATE(CalendarYear,9,25),1),"ddd")</f>
        <v>jue</v>
      </c>
      <c r="AB7" s="22" t="str">
        <f>TEXT(WEEKDAY(DATE(CalendarYear,9,26),1),"ddd")</f>
        <v>vie</v>
      </c>
      <c r="AC7" s="22" t="str">
        <f>TEXT(WEEKDAY(DATE(CalendarYear,9,27),1),"ddd")</f>
        <v>sáb</v>
      </c>
      <c r="AD7" s="22" t="str">
        <f>TEXT(WEEKDAY(DATE(CalendarYear,9,28),1),"ddd")</f>
        <v>dom</v>
      </c>
      <c r="AE7" s="22" t="str">
        <f>TEXT(WEEKDAY(DATE(CalendarYear,9,29),1),"ddd")</f>
        <v>lun</v>
      </c>
      <c r="AF7" s="22" t="str">
        <f>TEXT(WEEKDAY(DATE(CalendarYear,9,30),1),"ddd")</f>
        <v>mar</v>
      </c>
      <c r="AG7" s="22"/>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35</v>
      </c>
      <c r="AH8" s="23" t="s">
        <v>58</v>
      </c>
    </row>
    <row r="9" spans="2:34" ht="30" customHeight="1" x14ac:dyDescent="0.2">
      <c r="B9" s="2" t="s">
        <v>48</v>
      </c>
      <c r="C9" s="1"/>
      <c r="D9" s="1"/>
      <c r="E9" s="1"/>
      <c r="F9" s="1"/>
      <c r="G9" s="20"/>
      <c r="H9" s="1" t="s">
        <v>56</v>
      </c>
      <c r="I9" s="1" t="s">
        <v>56</v>
      </c>
      <c r="J9" s="1"/>
      <c r="K9" s="1"/>
      <c r="L9" s="1"/>
      <c r="M9" s="1"/>
      <c r="N9" s="1"/>
      <c r="O9" s="20" t="s">
        <v>56</v>
      </c>
      <c r="P9" s="20" t="s">
        <v>56</v>
      </c>
      <c r="Q9" s="1"/>
      <c r="R9" s="1"/>
      <c r="S9" s="1"/>
      <c r="T9" s="1"/>
      <c r="U9" s="1"/>
      <c r="V9" s="20" t="s">
        <v>56</v>
      </c>
      <c r="W9" s="20" t="s">
        <v>56</v>
      </c>
      <c r="X9" s="1"/>
      <c r="Y9" s="1"/>
      <c r="Z9" s="1"/>
      <c r="AA9" s="1"/>
      <c r="AB9" s="1"/>
      <c r="AC9" s="20" t="s">
        <v>56</v>
      </c>
      <c r="AD9" s="20" t="s">
        <v>56</v>
      </c>
      <c r="AE9" s="1"/>
      <c r="AF9" s="1"/>
      <c r="AG9" s="1"/>
      <c r="AH9" s="3">
        <f>SUM(Septiembre[[#This Row],[1]:[ ]])</f>
        <v>0</v>
      </c>
    </row>
    <row r="10" spans="2:34" ht="30" customHeight="1" x14ac:dyDescent="0.2">
      <c r="B10" s="2" t="s">
        <v>49</v>
      </c>
      <c r="C10" s="1"/>
      <c r="D10" s="1"/>
      <c r="E10" s="1"/>
      <c r="F10" s="1"/>
      <c r="G10" s="1"/>
      <c r="H10" s="1" t="s">
        <v>56</v>
      </c>
      <c r="I10" s="1" t="s">
        <v>56</v>
      </c>
      <c r="J10" s="1"/>
      <c r="K10" s="1"/>
      <c r="L10" s="1"/>
      <c r="M10" s="1"/>
      <c r="N10" s="1"/>
      <c r="O10" s="1" t="s">
        <v>56</v>
      </c>
      <c r="P10" s="1" t="s">
        <v>56</v>
      </c>
      <c r="Q10" s="1"/>
      <c r="R10" s="1"/>
      <c r="S10" s="1"/>
      <c r="T10" s="1"/>
      <c r="U10" s="1"/>
      <c r="V10" s="1" t="s">
        <v>56</v>
      </c>
      <c r="W10" s="1" t="s">
        <v>56</v>
      </c>
      <c r="X10" s="1"/>
      <c r="Y10" s="1"/>
      <c r="Z10" s="1"/>
      <c r="AA10" s="1"/>
      <c r="AB10" s="1"/>
      <c r="AC10" s="1" t="s">
        <v>56</v>
      </c>
      <c r="AD10" s="1" t="s">
        <v>56</v>
      </c>
      <c r="AE10" s="1"/>
      <c r="AF10" s="1"/>
      <c r="AG10" s="1"/>
      <c r="AH10" s="3">
        <f>SUM(Septiembre[[#This Row],[1]:[ ]])</f>
        <v>0</v>
      </c>
    </row>
    <row r="11" spans="2:34" ht="30" customHeight="1" x14ac:dyDescent="0.2">
      <c r="B11" s="2" t="s">
        <v>51</v>
      </c>
      <c r="C11" s="1"/>
      <c r="D11" s="1"/>
      <c r="E11" s="1"/>
      <c r="F11" s="1"/>
      <c r="G11" s="1"/>
      <c r="H11" s="1" t="s">
        <v>56</v>
      </c>
      <c r="I11" s="1" t="s">
        <v>56</v>
      </c>
      <c r="J11" s="1"/>
      <c r="K11" s="1"/>
      <c r="L11" s="1"/>
      <c r="M11" s="1"/>
      <c r="N11" s="1"/>
      <c r="O11" s="1" t="s">
        <v>56</v>
      </c>
      <c r="P11" s="1" t="s">
        <v>56</v>
      </c>
      <c r="Q11" s="1"/>
      <c r="R11" s="1"/>
      <c r="S11" s="1"/>
      <c r="T11" s="1"/>
      <c r="U11" s="1"/>
      <c r="V11" s="1" t="s">
        <v>56</v>
      </c>
      <c r="W11" s="1" t="s">
        <v>56</v>
      </c>
      <c r="X11" s="1"/>
      <c r="Y11" s="1"/>
      <c r="Z11" s="1"/>
      <c r="AA11" s="1"/>
      <c r="AB11" s="1"/>
      <c r="AC11" s="1" t="s">
        <v>56</v>
      </c>
      <c r="AD11" s="1" t="s">
        <v>56</v>
      </c>
      <c r="AE11" s="1"/>
      <c r="AF11" s="1"/>
      <c r="AG11" s="1"/>
      <c r="AH11" s="3">
        <f>SUM(Septiembre[[#This Row],[1]:[ ]])</f>
        <v>0</v>
      </c>
    </row>
    <row r="12" spans="2:34" ht="30" customHeight="1" x14ac:dyDescent="0.2">
      <c r="B12" s="2" t="s">
        <v>52</v>
      </c>
      <c r="C12" s="1"/>
      <c r="D12" s="1"/>
      <c r="E12" s="1"/>
      <c r="F12" s="1"/>
      <c r="G12" s="1"/>
      <c r="H12" s="1" t="s">
        <v>56</v>
      </c>
      <c r="I12" s="1" t="s">
        <v>56</v>
      </c>
      <c r="J12" s="1"/>
      <c r="K12" s="1"/>
      <c r="L12" s="1"/>
      <c r="M12" s="1"/>
      <c r="N12" s="1"/>
      <c r="O12" s="1" t="s">
        <v>56</v>
      </c>
      <c r="P12" s="1" t="s">
        <v>56</v>
      </c>
      <c r="Q12" s="1"/>
      <c r="R12" s="1"/>
      <c r="S12" s="1"/>
      <c r="T12" s="1"/>
      <c r="U12" s="1"/>
      <c r="V12" s="1" t="s">
        <v>56</v>
      </c>
      <c r="W12" s="1" t="s">
        <v>56</v>
      </c>
      <c r="X12" s="1"/>
      <c r="Y12" s="1"/>
      <c r="Z12" s="1"/>
      <c r="AA12" s="1"/>
      <c r="AB12" s="1"/>
      <c r="AC12" s="1" t="s">
        <v>56</v>
      </c>
      <c r="AD12" s="1" t="s">
        <v>56</v>
      </c>
      <c r="AE12" s="1"/>
      <c r="AF12" s="1"/>
      <c r="AG12" s="1"/>
      <c r="AH12" s="3">
        <f>SUM(Septiembre[[#This Row],[1]:[ ]])</f>
        <v>0</v>
      </c>
    </row>
    <row r="13" spans="2:34" ht="30" customHeight="1" x14ac:dyDescent="0.2">
      <c r="B13" s="2" t="s">
        <v>50</v>
      </c>
      <c r="C13" s="1"/>
      <c r="D13" s="1"/>
      <c r="E13" s="1"/>
      <c r="F13" s="1"/>
      <c r="G13" s="1"/>
      <c r="H13" s="1" t="s">
        <v>56</v>
      </c>
      <c r="I13" s="1" t="s">
        <v>56</v>
      </c>
      <c r="J13" s="1"/>
      <c r="K13" s="1"/>
      <c r="L13" s="1"/>
      <c r="M13" s="1"/>
      <c r="N13" s="1"/>
      <c r="O13" s="1" t="s">
        <v>56</v>
      </c>
      <c r="P13" s="1" t="s">
        <v>56</v>
      </c>
      <c r="Q13" s="1"/>
      <c r="R13" s="1"/>
      <c r="S13" s="1"/>
      <c r="T13" s="1"/>
      <c r="U13" s="1"/>
      <c r="V13" s="1" t="s">
        <v>56</v>
      </c>
      <c r="W13" s="1" t="s">
        <v>56</v>
      </c>
      <c r="X13" s="1"/>
      <c r="Y13" s="1"/>
      <c r="Z13" s="1"/>
      <c r="AA13" s="1"/>
      <c r="AB13" s="1"/>
      <c r="AC13" s="1" t="s">
        <v>56</v>
      </c>
      <c r="AD13" s="1" t="s">
        <v>56</v>
      </c>
      <c r="AE13" s="1"/>
      <c r="AF13" s="1"/>
      <c r="AG13" s="1"/>
      <c r="AH13" s="3">
        <f>SUM(Septiembre[[#This Row],[1]:[ ]])</f>
        <v>0</v>
      </c>
    </row>
    <row r="14" spans="2: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SUBTOTAL(109,Septiembre[Total de horas])</f>
        <v>0</v>
      </c>
    </row>
  </sheetData>
  <mergeCells count="6">
    <mergeCell ref="C6:AG6"/>
    <mergeCell ref="D4:F4"/>
    <mergeCell ref="H4:J4"/>
    <mergeCell ref="L4:N4"/>
    <mergeCell ref="P4:S4"/>
    <mergeCell ref="U4:X4"/>
  </mergeCells>
  <phoneticPr fontId="32" type="noConversion"/>
  <conditionalFormatting sqref="C9:F13 J9:N13 Q9:U13 X9:AB13 AE9:AG13">
    <cfRule type="expression" dxfId="89" priority="36" stopIfTrue="1">
      <formula>C9=KeyVacation</formula>
    </cfRule>
    <cfRule type="expression" dxfId="88" priority="35" stopIfTrue="1">
      <formula>C9=KeyPersonal</formula>
    </cfRule>
    <cfRule type="expression" dxfId="87" priority="34" stopIfTrue="1">
      <formula>C9=KeySick</formula>
    </cfRule>
    <cfRule type="expression" dxfId="86" priority="33" stopIfTrue="1">
      <formula>C9=KeyCustom1</formula>
    </cfRule>
    <cfRule type="expression" dxfId="85" priority="32" stopIfTrue="1">
      <formula>C9=KeyCustom2</formula>
    </cfRule>
    <cfRule type="expression" priority="31" stopIfTrue="1">
      <formula>C9=""</formula>
    </cfRule>
  </conditionalFormatting>
  <conditionalFormatting sqref="G9:G13">
    <cfRule type="expression" dxfId="84" priority="30" stopIfTrue="1">
      <formula>G9=KeyVacation</formula>
    </cfRule>
    <cfRule type="expression" dxfId="83" priority="29" stopIfTrue="1">
      <formula>G9=KeyPersonal</formula>
    </cfRule>
    <cfRule type="expression" dxfId="82" priority="28" stopIfTrue="1">
      <formula>G9=KeySick</formula>
    </cfRule>
    <cfRule type="expression" dxfId="81" priority="27" stopIfTrue="1">
      <formula>G9=KeyCustom1</formula>
    </cfRule>
    <cfRule type="expression" dxfId="80" priority="26" stopIfTrue="1">
      <formula>G9=KeyCustom2</formula>
    </cfRule>
    <cfRule type="expression" priority="25" stopIfTrue="1">
      <formula>G9=""</formula>
    </cfRule>
  </conditionalFormatting>
  <conditionalFormatting sqref="H9:I13">
    <cfRule type="expression" priority="1" stopIfTrue="1">
      <formula>H9=""</formula>
    </cfRule>
    <cfRule type="expression" dxfId="79" priority="6" stopIfTrue="1">
      <formula>H9=KeyVacation</formula>
    </cfRule>
    <cfRule type="expression" dxfId="78" priority="5" stopIfTrue="1">
      <formula>H9=KeyPersonal</formula>
    </cfRule>
    <cfRule type="expression" dxfId="77" priority="4" stopIfTrue="1">
      <formula>H9=KeySick</formula>
    </cfRule>
    <cfRule type="expression" dxfId="76" priority="3" stopIfTrue="1">
      <formula>H9=KeyCustom1</formula>
    </cfRule>
    <cfRule type="expression" dxfId="75" priority="2" stopIfTrue="1">
      <formula>H9=KeyCustom2</formula>
    </cfRule>
  </conditionalFormatting>
  <conditionalFormatting sqref="O9:P13">
    <cfRule type="expression" dxfId="74" priority="20" stopIfTrue="1">
      <formula>O9=KeyCustom2</formula>
    </cfRule>
    <cfRule type="expression" dxfId="73" priority="21" stopIfTrue="1">
      <formula>O9=KeyCustom1</formula>
    </cfRule>
    <cfRule type="expression" dxfId="72" priority="22" stopIfTrue="1">
      <formula>O9=KeySick</formula>
    </cfRule>
    <cfRule type="expression" dxfId="71" priority="23" stopIfTrue="1">
      <formula>O9=KeyPersonal</formula>
    </cfRule>
    <cfRule type="expression" dxfId="70" priority="24" stopIfTrue="1">
      <formula>O9=KeyVacation</formula>
    </cfRule>
    <cfRule type="expression" priority="19" stopIfTrue="1">
      <formula>O9=""</formula>
    </cfRule>
  </conditionalFormatting>
  <conditionalFormatting sqref="V9:W13">
    <cfRule type="expression" dxfId="69" priority="14" stopIfTrue="1">
      <formula>V9=KeyCustom2</formula>
    </cfRule>
    <cfRule type="expression" dxfId="68" priority="15" stopIfTrue="1">
      <formula>V9=KeyCustom1</formula>
    </cfRule>
    <cfRule type="expression" dxfId="67" priority="16" stopIfTrue="1">
      <formula>V9=KeySick</formula>
    </cfRule>
    <cfRule type="expression" dxfId="66" priority="17" stopIfTrue="1">
      <formula>V9=KeyPersonal</formula>
    </cfRule>
    <cfRule type="expression" dxfId="65" priority="18" stopIfTrue="1">
      <formula>V9=KeyVacation</formula>
    </cfRule>
    <cfRule type="expression" priority="13" stopIfTrue="1">
      <formula>V9=""</formula>
    </cfRule>
  </conditionalFormatting>
  <conditionalFormatting sqref="AC9:AD13">
    <cfRule type="expression" dxfId="64" priority="12" stopIfTrue="1">
      <formula>AC9=KeyVacation</formula>
    </cfRule>
    <cfRule type="expression" dxfId="63" priority="11" stopIfTrue="1">
      <formula>AC9=KeyPersonal</formula>
    </cfRule>
    <cfRule type="expression" dxfId="62" priority="10" stopIfTrue="1">
      <formula>AC9=KeySick</formula>
    </cfRule>
    <cfRule type="expression" dxfId="61" priority="9" stopIfTrue="1">
      <formula>AC9=KeyCustom1</formula>
    </cfRule>
    <cfRule type="expression" dxfId="60" priority="8" stopIfTrue="1">
      <formula>AC9=KeyCustom2</formula>
    </cfRule>
    <cfRule type="expression" priority="7" stopIfTrue="1">
      <formula>AC9=""</formula>
    </cfRule>
  </conditionalFormatting>
  <dataValidations count="15">
    <dataValidation allowBlank="1" showInputMessage="1" showErrorMessage="1" prompt="Los días del mes se generan automáticamente en esta fila. Especifique la ausencia del empleado y el tipo en cada columna para cada día del mes. En blanco significa que no hay ninguna ausencia" sqref="C8" xr:uid="{9DDE2A21-51EA-3649-A2EE-B04BD18F4ABA}"/>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800-000001000000}"/>
    <dataValidation allowBlank="1" showInputMessage="1" showErrorMessage="1" prompt="Escriba una etiqueta para describir la clave personalizada de la izquierda." sqref="U4 P4" xr:uid="{19A279A8-A389-4CC1-9615-32073DB88D60}"/>
    <dataValidation allowBlank="1" showInputMessage="1" showErrorMessage="1" prompt="Escriba una letra y personalice la etiqueta de la derecha para agregar otro elemento clave." sqref="O4 T4" xr:uid="{DEC370A8-4B74-41C9-A9F0-412F0384E220}"/>
    <dataValidation allowBlank="1" showInputMessage="1" showErrorMessage="1" prompt="La letra “E” indica una ausencia por enfermedad" sqref="K4" xr:uid="{1AF3AE3B-9294-469A-A237-0F4F9AC73B94}"/>
    <dataValidation allowBlank="1" showInputMessage="1" showErrorMessage="1" prompt="La letra “P” indica una ausencia por motivos personales" sqref="G4" xr:uid="{79DE58EF-3D9E-401E-A28C-7C1EDD1093C1}"/>
    <dataValidation allowBlank="1" showInputMessage="1" showErrorMessage="1" prompt="La letra “V” indica una ausencia por vacaciones" sqref="C4" xr:uid="{2C326A69-DFA1-4B96-BF05-65731BACF856}"/>
    <dataValidation allowBlank="1" showInputMessage="1" showErrorMessage="1" prompt="El título se actualiza automáticamente en esta celda. Para modificarlo, actualice la celda B1 en la hoja de cálculo de enero" sqref="B2" xr:uid="{00000000-0002-0000-0800-000008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C5038EA6-8162-4537-AD77-34E5F290382B}"/>
    <dataValidation allowBlank="1" showInputMessage="1" showErrorMessage="1" prompt="Realice un seguimiento de las ausencias de septiembre en esta hoja de cálculo." sqref="A1" xr:uid="{00000000-0002-0000-0800-00000A000000}"/>
    <dataValidation allowBlank="1" showInputMessage="1" showErrorMessage="1" prompt="Cálculo automático del número total de días que un empleado ha estado ausente este mes en esta columna" sqref="AH8" xr:uid="{5C77DC9E-A1AE-7C41-B518-6426DAF8D1EE}"/>
    <dataValidation allowBlank="1" showInputMessage="1" showErrorMessage="1" prompt="Año actualizado automáticamente en función del año introducido en la hoja de cálculo de enero" sqref="AH6" xr:uid="{075296AD-6F4A-1446-94E5-CA2E94C7BFCE}"/>
    <dataValidation allowBlank="1" showInputMessage="1" showErrorMessage="1" prompt="Los días laborables en esta fila se actualizan automáticamente durante el mes según el año en AH4. Cada día del mes es una columna para indicar la ausencia del empleado y el tipo de ausencia" sqref="C7" xr:uid="{D85777C8-14EB-B748-8BBD-8B9BF124E384}"/>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51D12EEB-B8F1-4EF5-B2B0-4247DDE00A7D}"/>
    <dataValidation allowBlank="1" showInputMessage="1" showErrorMessage="1" prompt="Esta celda contiene el título de la hoja de cálculo. " sqref="B1" xr:uid="{350DF643-12FE-482A-ADA7-1768EA0DFA8F}"/>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E000000}">
          <x14:formula1>
            <xm:f>'Integrantes del equipo'!$B$4:$B$8</xm:f>
          </x14:formula1>
          <xm:sqref>B9:B13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pageSetUpPr fitToPage="1"/>
  </sheetPr>
  <dimension ref="B1:AH14"/>
  <sheetViews>
    <sheetView showGridLines="0" tabSelected="1" zoomScaleNormal="100" workbookViewId="0">
      <selection activeCell="P12" sqref="P12"/>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29" t="s">
        <v>44</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TEXT(WEEKDAY(DATE(CalendarYear,10,1),1),"ddd")</f>
        <v>mié</v>
      </c>
      <c r="D7" s="22" t="str">
        <f>TEXT(WEEKDAY(DATE(CalendarYear,10,2),1),"ddd")</f>
        <v>jue</v>
      </c>
      <c r="E7" s="22" t="str">
        <f>TEXT(WEEKDAY(DATE(CalendarYear,10,3),1),"ddd")</f>
        <v>vie</v>
      </c>
      <c r="F7" s="22" t="str">
        <f>TEXT(WEEKDAY(DATE(CalendarYear,10,4),1),"ddd")</f>
        <v>sáb</v>
      </c>
      <c r="G7" s="22" t="str">
        <f>TEXT(WEEKDAY(DATE(CalendarYear,10,5),1),"ddd")</f>
        <v>dom</v>
      </c>
      <c r="H7" s="22" t="str">
        <f>TEXT(WEEKDAY(DATE(CalendarYear,10,6),1),"ddd")</f>
        <v>lun</v>
      </c>
      <c r="I7" s="22" t="str">
        <f>TEXT(WEEKDAY(DATE(CalendarYear,10,7),1),"ddd")</f>
        <v>mar</v>
      </c>
      <c r="J7" s="22" t="str">
        <f>TEXT(WEEKDAY(DATE(CalendarYear,10,8),1),"ddd")</f>
        <v>mié</v>
      </c>
      <c r="K7" s="22" t="str">
        <f>TEXT(WEEKDAY(DATE(CalendarYear,10,9),1),"ddd")</f>
        <v>jue</v>
      </c>
      <c r="L7" s="22" t="str">
        <f>TEXT(WEEKDAY(DATE(CalendarYear,10,10),1),"ddd")</f>
        <v>vie</v>
      </c>
      <c r="M7" s="22" t="str">
        <f>TEXT(WEEKDAY(DATE(CalendarYear,10,11),1),"ddd")</f>
        <v>sáb</v>
      </c>
      <c r="N7" s="22" t="str">
        <f>TEXT(WEEKDAY(DATE(CalendarYear,10,12),1),"ddd")</f>
        <v>dom</v>
      </c>
      <c r="O7" s="22" t="str">
        <f>TEXT(WEEKDAY(DATE(CalendarYear,10,13),1),"ddd")</f>
        <v>lun</v>
      </c>
      <c r="P7" s="22" t="str">
        <f>TEXT(WEEKDAY(DATE(CalendarYear,10,14),1),"ddd")</f>
        <v>mar</v>
      </c>
      <c r="Q7" s="22" t="str">
        <f>TEXT(WEEKDAY(DATE(CalendarYear,10,15),1),"ddd")</f>
        <v>mié</v>
      </c>
      <c r="R7" s="22" t="str">
        <f>TEXT(WEEKDAY(DATE(CalendarYear,10,16),1),"ddd")</f>
        <v>jue</v>
      </c>
      <c r="S7" s="22" t="str">
        <f>TEXT(WEEKDAY(DATE(CalendarYear,10,17),1),"ddd")</f>
        <v>vie</v>
      </c>
      <c r="T7" s="22" t="str">
        <f>TEXT(WEEKDAY(DATE(CalendarYear,10,18),1),"ddd")</f>
        <v>sáb</v>
      </c>
      <c r="U7" s="22" t="str">
        <f>TEXT(WEEKDAY(DATE(CalendarYear,10,19),1),"ddd")</f>
        <v>dom</v>
      </c>
      <c r="V7" s="22" t="str">
        <f>TEXT(WEEKDAY(DATE(CalendarYear,10,20),1),"ddd")</f>
        <v>lun</v>
      </c>
      <c r="W7" s="22" t="str">
        <f>TEXT(WEEKDAY(DATE(CalendarYear,10,21),1),"ddd")</f>
        <v>mar</v>
      </c>
      <c r="X7" s="22" t="str">
        <f>TEXT(WEEKDAY(DATE(CalendarYear,10,22),1),"ddd")</f>
        <v>mié</v>
      </c>
      <c r="Y7" s="22" t="str">
        <f>TEXT(WEEKDAY(DATE(CalendarYear,10,23),1),"ddd")</f>
        <v>jue</v>
      </c>
      <c r="Z7" s="22" t="str">
        <f>TEXT(WEEKDAY(DATE(CalendarYear,10,24),1),"ddd")</f>
        <v>vie</v>
      </c>
      <c r="AA7" s="22" t="str">
        <f>TEXT(WEEKDAY(DATE(CalendarYear,10,25),1),"ddd")</f>
        <v>sáb</v>
      </c>
      <c r="AB7" s="22" t="str">
        <f>TEXT(WEEKDAY(DATE(CalendarYear,10,26),1),"ddd")</f>
        <v>dom</v>
      </c>
      <c r="AC7" s="22" t="str">
        <f>TEXT(WEEKDAY(DATE(CalendarYear,10,27),1),"ddd")</f>
        <v>lun</v>
      </c>
      <c r="AD7" s="22" t="str">
        <f>TEXT(WEEKDAY(DATE(CalendarYear,10,28),1),"ddd")</f>
        <v>mar</v>
      </c>
      <c r="AE7" s="22" t="str">
        <f>TEXT(WEEKDAY(DATE(CalendarYear,10,29),1),"ddd")</f>
        <v>mié</v>
      </c>
      <c r="AF7" s="22" t="str">
        <f>TEXT(WEEKDAY(DATE(CalendarYear,10,30),1),"ddd")</f>
        <v>jue</v>
      </c>
      <c r="AG7" s="22" t="str">
        <f>TEXT(WEEKDAY(DATE(CalendarYear,10,31),1),"ddd")</f>
        <v>vie</v>
      </c>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23" t="s">
        <v>58</v>
      </c>
    </row>
    <row r="9" spans="2:34" ht="30" customHeight="1" x14ac:dyDescent="0.2">
      <c r="B9" s="2" t="s">
        <v>48</v>
      </c>
      <c r="C9" s="1"/>
      <c r="D9" s="1"/>
      <c r="E9" s="1"/>
      <c r="F9" s="1" t="s">
        <v>56</v>
      </c>
      <c r="G9" s="1" t="s">
        <v>56</v>
      </c>
      <c r="H9" s="1">
        <v>0</v>
      </c>
      <c r="I9" s="1">
        <v>0</v>
      </c>
      <c r="J9" s="1">
        <v>1</v>
      </c>
      <c r="K9" s="1">
        <v>0</v>
      </c>
      <c r="L9" s="1">
        <v>1</v>
      </c>
      <c r="M9" s="1" t="s">
        <v>56</v>
      </c>
      <c r="N9" s="1" t="s">
        <v>56</v>
      </c>
      <c r="O9" s="1">
        <v>0</v>
      </c>
      <c r="P9" s="1">
        <v>1</v>
      </c>
      <c r="Q9" s="1">
        <v>1</v>
      </c>
      <c r="R9" s="1">
        <v>3</v>
      </c>
      <c r="S9" s="1">
        <v>1</v>
      </c>
      <c r="T9" s="1" t="s">
        <v>56</v>
      </c>
      <c r="U9" s="1" t="s">
        <v>56</v>
      </c>
      <c r="V9" s="1">
        <v>0</v>
      </c>
      <c r="W9" s="1">
        <v>0</v>
      </c>
      <c r="X9" s="1">
        <v>0</v>
      </c>
      <c r="Y9" s="1">
        <v>2</v>
      </c>
      <c r="Z9" s="1">
        <v>0</v>
      </c>
      <c r="AA9" s="1" t="s">
        <v>56</v>
      </c>
      <c r="AB9" s="1" t="s">
        <v>56</v>
      </c>
      <c r="AC9" s="35" t="s">
        <v>4</v>
      </c>
      <c r="AD9" s="35" t="s">
        <v>4</v>
      </c>
      <c r="AE9" s="35" t="s">
        <v>4</v>
      </c>
      <c r="AF9" s="35" t="s">
        <v>4</v>
      </c>
      <c r="AG9" s="35" t="s">
        <v>4</v>
      </c>
      <c r="AH9" s="3">
        <f>SUM(Octubre[[#This Row],[1]:[31]])</f>
        <v>10</v>
      </c>
    </row>
    <row r="10" spans="2:34" ht="30" customHeight="1" x14ac:dyDescent="0.2">
      <c r="B10" s="2" t="s">
        <v>49</v>
      </c>
      <c r="C10" s="1"/>
      <c r="D10" s="1"/>
      <c r="E10" s="1"/>
      <c r="F10" s="1" t="s">
        <v>56</v>
      </c>
      <c r="G10" s="1" t="s">
        <v>56</v>
      </c>
      <c r="H10" s="1">
        <v>0</v>
      </c>
      <c r="I10" s="1">
        <v>0</v>
      </c>
      <c r="J10" s="1">
        <v>0</v>
      </c>
      <c r="K10" s="1">
        <v>0</v>
      </c>
      <c r="L10" s="1">
        <v>1</v>
      </c>
      <c r="M10" s="1" t="s">
        <v>56</v>
      </c>
      <c r="N10" s="1" t="s">
        <v>56</v>
      </c>
      <c r="O10" s="1">
        <v>0</v>
      </c>
      <c r="P10" s="1">
        <v>0</v>
      </c>
      <c r="Q10" s="1">
        <v>3</v>
      </c>
      <c r="R10" s="1">
        <v>0</v>
      </c>
      <c r="S10" s="1">
        <v>2</v>
      </c>
      <c r="T10" s="1" t="s">
        <v>56</v>
      </c>
      <c r="U10" s="1" t="s">
        <v>56</v>
      </c>
      <c r="V10" s="1">
        <v>1</v>
      </c>
      <c r="W10" s="1">
        <v>0</v>
      </c>
      <c r="X10" s="1">
        <v>0</v>
      </c>
      <c r="Y10" s="1">
        <v>1</v>
      </c>
      <c r="Z10" s="1">
        <v>1</v>
      </c>
      <c r="AA10" s="1" t="s">
        <v>56</v>
      </c>
      <c r="AB10" s="1" t="s">
        <v>56</v>
      </c>
      <c r="AC10" s="35" t="s">
        <v>4</v>
      </c>
      <c r="AD10" s="35" t="s">
        <v>4</v>
      </c>
      <c r="AE10" s="35" t="s">
        <v>4</v>
      </c>
      <c r="AF10" s="35" t="s">
        <v>4</v>
      </c>
      <c r="AG10" s="35" t="s">
        <v>4</v>
      </c>
      <c r="AH10" s="3">
        <f>SUM(Octubre[[#This Row],[1]:[31]])</f>
        <v>9</v>
      </c>
    </row>
    <row r="11" spans="2:34" ht="30" customHeight="1" x14ac:dyDescent="0.2">
      <c r="B11" s="2" t="s">
        <v>51</v>
      </c>
      <c r="C11" s="1"/>
      <c r="D11" s="1"/>
      <c r="E11" s="1"/>
      <c r="F11" s="1" t="s">
        <v>56</v>
      </c>
      <c r="G11" s="1" t="s">
        <v>56</v>
      </c>
      <c r="H11" s="1">
        <v>0</v>
      </c>
      <c r="I11" s="1">
        <v>0</v>
      </c>
      <c r="J11" s="1">
        <v>1</v>
      </c>
      <c r="K11" s="1">
        <v>1</v>
      </c>
      <c r="L11" s="1">
        <v>0</v>
      </c>
      <c r="M11" s="1" t="s">
        <v>56</v>
      </c>
      <c r="N11" s="1" t="s">
        <v>56</v>
      </c>
      <c r="O11" s="1">
        <v>1</v>
      </c>
      <c r="P11" s="1">
        <v>1</v>
      </c>
      <c r="Q11" s="1">
        <v>0</v>
      </c>
      <c r="R11" s="1">
        <v>0</v>
      </c>
      <c r="S11" s="1">
        <v>3</v>
      </c>
      <c r="T11" s="1" t="s">
        <v>56</v>
      </c>
      <c r="U11" s="1" t="s">
        <v>56</v>
      </c>
      <c r="V11" s="1">
        <v>0</v>
      </c>
      <c r="W11" s="1">
        <v>1</v>
      </c>
      <c r="X11" s="1">
        <v>0</v>
      </c>
      <c r="Y11" s="1">
        <v>1</v>
      </c>
      <c r="Z11" s="1">
        <v>0</v>
      </c>
      <c r="AA11" s="1" t="s">
        <v>56</v>
      </c>
      <c r="AB11" s="1" t="s">
        <v>56</v>
      </c>
      <c r="AC11" s="35" t="s">
        <v>4</v>
      </c>
      <c r="AD11" s="35" t="s">
        <v>4</v>
      </c>
      <c r="AE11" s="35" t="s">
        <v>4</v>
      </c>
      <c r="AF11" s="35" t="s">
        <v>4</v>
      </c>
      <c r="AG11" s="35" t="s">
        <v>4</v>
      </c>
      <c r="AH11" s="3">
        <f>SUM(Octubre[[#This Row],[1]:[31]])</f>
        <v>9</v>
      </c>
    </row>
    <row r="12" spans="2:34" ht="30" customHeight="1" x14ac:dyDescent="0.2">
      <c r="B12" s="2" t="s">
        <v>52</v>
      </c>
      <c r="C12" s="1"/>
      <c r="D12" s="1"/>
      <c r="E12" s="1"/>
      <c r="F12" s="1" t="s">
        <v>56</v>
      </c>
      <c r="G12" s="1" t="s">
        <v>56</v>
      </c>
      <c r="H12" s="1">
        <v>0</v>
      </c>
      <c r="I12" s="1">
        <v>0</v>
      </c>
      <c r="J12" s="1">
        <v>0</v>
      </c>
      <c r="K12" s="1">
        <v>0</v>
      </c>
      <c r="L12" s="1">
        <v>4</v>
      </c>
      <c r="M12" s="1" t="s">
        <v>56</v>
      </c>
      <c r="N12" s="1" t="s">
        <v>56</v>
      </c>
      <c r="O12" s="1">
        <v>1</v>
      </c>
      <c r="P12" s="1">
        <v>1</v>
      </c>
      <c r="Q12" s="1">
        <v>0</v>
      </c>
      <c r="R12" s="1">
        <v>2</v>
      </c>
      <c r="S12" s="1">
        <v>0</v>
      </c>
      <c r="T12" s="1" t="s">
        <v>56</v>
      </c>
      <c r="U12" s="1" t="s">
        <v>56</v>
      </c>
      <c r="V12" s="1">
        <v>0</v>
      </c>
      <c r="W12" s="1">
        <v>0</v>
      </c>
      <c r="X12" s="1">
        <v>0</v>
      </c>
      <c r="Y12" s="1">
        <v>1</v>
      </c>
      <c r="Z12" s="1">
        <v>1</v>
      </c>
      <c r="AA12" s="1" t="s">
        <v>56</v>
      </c>
      <c r="AB12" s="1" t="s">
        <v>56</v>
      </c>
      <c r="AC12" s="35" t="s">
        <v>4</v>
      </c>
      <c r="AD12" s="35" t="s">
        <v>4</v>
      </c>
      <c r="AE12" s="35" t="s">
        <v>4</v>
      </c>
      <c r="AF12" s="35" t="s">
        <v>4</v>
      </c>
      <c r="AG12" s="35" t="s">
        <v>4</v>
      </c>
      <c r="AH12" s="3">
        <f>SUM(Octubre[[#This Row],[1]:[31]])</f>
        <v>10</v>
      </c>
    </row>
    <row r="13" spans="2:34" ht="30" customHeight="1" x14ac:dyDescent="0.2">
      <c r="B13" s="2" t="s">
        <v>50</v>
      </c>
      <c r="C13" s="1"/>
      <c r="D13" s="1"/>
      <c r="E13" s="1"/>
      <c r="F13" s="1" t="s">
        <v>56</v>
      </c>
      <c r="G13" s="1" t="s">
        <v>56</v>
      </c>
      <c r="H13" s="1">
        <v>0</v>
      </c>
      <c r="I13" s="1">
        <v>0</v>
      </c>
      <c r="J13" s="1">
        <v>1</v>
      </c>
      <c r="K13" s="1">
        <v>1</v>
      </c>
      <c r="L13" s="1">
        <v>0</v>
      </c>
      <c r="M13" s="1" t="s">
        <v>56</v>
      </c>
      <c r="N13" s="1" t="s">
        <v>56</v>
      </c>
      <c r="O13" s="1">
        <v>3</v>
      </c>
      <c r="P13" s="1">
        <v>1</v>
      </c>
      <c r="Q13" s="1">
        <v>0</v>
      </c>
      <c r="R13" s="1">
        <v>0</v>
      </c>
      <c r="S13" s="1">
        <v>2</v>
      </c>
      <c r="T13" s="1" t="s">
        <v>56</v>
      </c>
      <c r="U13" s="1" t="s">
        <v>56</v>
      </c>
      <c r="V13" s="1">
        <v>1</v>
      </c>
      <c r="W13" s="1">
        <v>0</v>
      </c>
      <c r="X13" s="1">
        <v>0</v>
      </c>
      <c r="Y13" s="1">
        <v>0</v>
      </c>
      <c r="Z13" s="1">
        <v>1</v>
      </c>
      <c r="AA13" s="1" t="s">
        <v>56</v>
      </c>
      <c r="AB13" s="1" t="s">
        <v>56</v>
      </c>
      <c r="AC13" s="35" t="s">
        <v>4</v>
      </c>
      <c r="AD13" s="35" t="s">
        <v>4</v>
      </c>
      <c r="AE13" s="35" t="s">
        <v>4</v>
      </c>
      <c r="AF13" s="35" t="s">
        <v>4</v>
      </c>
      <c r="AG13" s="35" t="s">
        <v>4</v>
      </c>
      <c r="AH13" s="3">
        <f>SUM(Octubre[[#This Row],[1]:[31]])</f>
        <v>10</v>
      </c>
    </row>
    <row r="14" spans="2:34" ht="30" customHeight="1" x14ac:dyDescent="0.2">
      <c r="B14" s="33" t="s">
        <v>59</v>
      </c>
      <c r="C14" s="4"/>
      <c r="D14" s="4"/>
      <c r="E14" s="4"/>
      <c r="F14" s="4"/>
      <c r="G14" s="4"/>
      <c r="H14" s="4" t="s">
        <v>1</v>
      </c>
      <c r="I14" s="4" t="s">
        <v>1</v>
      </c>
      <c r="J14" s="4" t="s">
        <v>1</v>
      </c>
      <c r="K14" s="4" t="s">
        <v>1</v>
      </c>
      <c r="L14" s="4" t="s">
        <v>1</v>
      </c>
      <c r="M14" s="4"/>
      <c r="N14" s="4"/>
      <c r="O14" s="4" t="s">
        <v>2</v>
      </c>
      <c r="P14" s="4" t="s">
        <v>2</v>
      </c>
      <c r="Q14" s="4" t="s">
        <v>2</v>
      </c>
      <c r="R14" s="4" t="s">
        <v>2</v>
      </c>
      <c r="S14" s="4" t="s">
        <v>2</v>
      </c>
      <c r="T14" s="4"/>
      <c r="U14" s="4"/>
      <c r="V14" s="4" t="s">
        <v>3</v>
      </c>
      <c r="W14" s="4" t="s">
        <v>3</v>
      </c>
      <c r="X14" s="4" t="s">
        <v>3</v>
      </c>
      <c r="Y14" s="4" t="s">
        <v>3</v>
      </c>
      <c r="Z14" s="4" t="s">
        <v>3</v>
      </c>
      <c r="AA14" s="4"/>
      <c r="AB14" s="4"/>
      <c r="AC14" s="4" t="s">
        <v>5</v>
      </c>
      <c r="AD14" s="4" t="s">
        <v>5</v>
      </c>
      <c r="AE14" s="4" t="s">
        <v>5</v>
      </c>
      <c r="AF14" s="4" t="s">
        <v>5</v>
      </c>
      <c r="AG14" s="4" t="s">
        <v>5</v>
      </c>
      <c r="AH14" s="4">
        <f>SUBTOTAL(109,Octubre[Total de horas])</f>
        <v>48</v>
      </c>
    </row>
  </sheetData>
  <mergeCells count="6">
    <mergeCell ref="C6:AG6"/>
    <mergeCell ref="D4:F4"/>
    <mergeCell ref="H4:J4"/>
    <mergeCell ref="L4:N4"/>
    <mergeCell ref="P4:S4"/>
    <mergeCell ref="U4:X4"/>
  </mergeCells>
  <phoneticPr fontId="32" type="noConversion"/>
  <conditionalFormatting sqref="C9:AG11 C12:O12 Q12:AG12 C13:AG13">
    <cfRule type="expression" priority="1" stopIfTrue="1">
      <formula>C9=""</formula>
    </cfRule>
    <cfRule type="expression" dxfId="59" priority="2" stopIfTrue="1">
      <formula>C9=KeyCustom2</formula>
    </cfRule>
    <cfRule type="expression" dxfId="58" priority="3" stopIfTrue="1">
      <formula>C9=KeyCustom1</formula>
    </cfRule>
    <cfRule type="expression" dxfId="57" priority="4" stopIfTrue="1">
      <formula>C9=KeySick</formula>
    </cfRule>
    <cfRule type="expression" dxfId="56" priority="5" stopIfTrue="1">
      <formula>C9=KeyPersonal</formula>
    </cfRule>
    <cfRule type="expression" dxfId="55" priority="6" stopIfTrue="1">
      <formula>C9=KeyVacation</formula>
    </cfRule>
  </conditionalFormatting>
  <dataValidations count="14">
    <dataValidation allowBlank="1" showInputMessage="1" showErrorMessage="1" prompt="Los días laborables en esta fila se actualizan automáticamente durante el mes según el año en AH4. Cada día del mes es una columna para indicar la ausencia del empleado y el tipo de ausencia" sqref="C7" xr:uid="{6C3B7250-7883-E447-A5BD-190F9EC85610}"/>
    <dataValidation allowBlank="1" showInputMessage="1" showErrorMessage="1" prompt="Año actualizado automáticamente en función del año introducido en la hoja de cálculo de enero" sqref="AH6" xr:uid="{856FAEF4-8645-3447-91CD-944E3DA437F4}"/>
    <dataValidation allowBlank="1" showInputMessage="1" showErrorMessage="1" prompt="Cálculo automático del número total de días que un empleado ha estado ausente este mes en esta columna" sqref="AH8" xr:uid="{460C2673-D90D-514F-89AA-D6D7BDC2B7D4}"/>
    <dataValidation allowBlank="1" showInputMessage="1" showErrorMessage="1" prompt="Realice un seguimiento de las ausencias de octubre en esta hoja de cálculo" sqref="A1" xr:uid="{00000000-0002-0000-0900-000003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571AD7ED-5D3E-49E9-A7EA-5DD069526BED}"/>
    <dataValidation allowBlank="1" showInputMessage="1" showErrorMessage="1" prompt="La letra “V” indica una ausencia por vacaciones" sqref="C4" xr:uid="{8AFA64B3-CA12-D746-A7DF-89EF58BCE3D5}"/>
    <dataValidation allowBlank="1" showInputMessage="1" showErrorMessage="1" prompt="La letra “P” indica una ausencia por motivos personales" sqref="G4" xr:uid="{3B7999AA-167A-CE4C-8796-899AE23635AB}"/>
    <dataValidation allowBlank="1" showInputMessage="1" showErrorMessage="1" prompt="La letra “E” indica una ausencia por enfermedad" sqref="K4" xr:uid="{1B40AE04-6602-1B4B-831F-DE91BF80E5BA}"/>
    <dataValidation allowBlank="1" showInputMessage="1" showErrorMessage="1" prompt="Escriba una letra y personalice la etiqueta de la derecha para agregar otro elemento clave." sqref="O4 T4" xr:uid="{E244B439-C378-D64B-B39B-3ECAC0628D41}"/>
    <dataValidation allowBlank="1" showInputMessage="1" showErrorMessage="1" prompt="Escriba una etiqueta para describir la clave personalizada de la izquierda." sqref="U4 P4" xr:uid="{8092AE17-9B79-B44F-87F7-9F40BB2047F6}"/>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900-00000C000000}"/>
    <dataValidation allowBlank="1" showInputMessage="1" showErrorMessage="1" prompt="Los días del mes se generan automáticamente en esta fila. Especifique la ausencia del empleado y el tipo en cada columna para cada día del mes. En blanco significa que no hay ninguna ausencia" sqref="C8" xr:uid="{E2589F34-72AD-7946-9C30-9FD4409BBCB4}"/>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F7AE2F46-5C53-492F-A454-FB03B715DE91}"/>
    <dataValidation allowBlank="1" showInputMessage="1" showErrorMessage="1" prompt="Esta celda contiene el título de la hoja de cálculo. " sqref="B1" xr:uid="{1E975A78-97E5-41B5-AD8F-0A9BBE0D8B63}"/>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E000000}">
          <x14:formula1>
            <xm:f>'Integrantes del equipo'!$B$4:$B$8</xm:f>
          </x14:formula1>
          <xm:sqref>B9:B13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pageSetUpPr fitToPage="1"/>
  </sheetPr>
  <dimension ref="B1:AH14"/>
  <sheetViews>
    <sheetView showGridLines="0" topLeftCell="A2" zoomScaleNormal="100" workbookViewId="0">
      <selection activeCell="AH14" sqref="AH14"/>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29" t="s">
        <v>45</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64</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TEXT(WEEKDAY(DATE(CalendarYear,11,1),1),"ddd")</f>
        <v>sáb</v>
      </c>
      <c r="D7" s="22" t="str">
        <f>TEXT(WEEKDAY(DATE(CalendarYear,11,2),1),"ddd")</f>
        <v>dom</v>
      </c>
      <c r="E7" s="22" t="str">
        <f>TEXT(WEEKDAY(DATE(CalendarYear,11,3),1),"ddd")</f>
        <v>lun</v>
      </c>
      <c r="F7" s="22" t="str">
        <f>TEXT(WEEKDAY(DATE(CalendarYear,11,4),1),"ddd")</f>
        <v>mar</v>
      </c>
      <c r="G7" s="22" t="str">
        <f>TEXT(WEEKDAY(DATE(CalendarYear,11,5),1),"ddd")</f>
        <v>mié</v>
      </c>
      <c r="H7" s="22" t="str">
        <f>TEXT(WEEKDAY(DATE(CalendarYear,11,6),1),"ddd")</f>
        <v>jue</v>
      </c>
      <c r="I7" s="22" t="str">
        <f>TEXT(WEEKDAY(DATE(CalendarYear,11,7),1),"ddd")</f>
        <v>vie</v>
      </c>
      <c r="J7" s="22" t="str">
        <f>TEXT(WEEKDAY(DATE(CalendarYear,11,8),1),"ddd")</f>
        <v>sáb</v>
      </c>
      <c r="K7" s="22" t="str">
        <f>TEXT(WEEKDAY(DATE(CalendarYear,11,9),1),"ddd")</f>
        <v>dom</v>
      </c>
      <c r="L7" s="22" t="str">
        <f>TEXT(WEEKDAY(DATE(CalendarYear,11,10),1),"ddd")</f>
        <v>lun</v>
      </c>
      <c r="M7" s="22" t="str">
        <f>TEXT(WEEKDAY(DATE(CalendarYear,11,11),1),"ddd")</f>
        <v>mar</v>
      </c>
      <c r="N7" s="22" t="str">
        <f>TEXT(WEEKDAY(DATE(CalendarYear,11,12),1),"ddd")</f>
        <v>mié</v>
      </c>
      <c r="O7" s="22" t="str">
        <f>TEXT(WEEKDAY(DATE(CalendarYear,11,13),1),"ddd")</f>
        <v>jue</v>
      </c>
      <c r="P7" s="22" t="str">
        <f>TEXT(WEEKDAY(DATE(CalendarYear,11,14),1),"ddd")</f>
        <v>vie</v>
      </c>
      <c r="Q7" s="22" t="str">
        <f>TEXT(WEEKDAY(DATE(CalendarYear,11,15),1),"ddd")</f>
        <v>sáb</v>
      </c>
      <c r="R7" s="22" t="str">
        <f>TEXT(WEEKDAY(DATE(CalendarYear,11,16),1),"ddd")</f>
        <v>dom</v>
      </c>
      <c r="S7" s="22" t="str">
        <f>TEXT(WEEKDAY(DATE(CalendarYear,11,17),1),"ddd")</f>
        <v>lun</v>
      </c>
      <c r="T7" s="22" t="str">
        <f>TEXT(WEEKDAY(DATE(CalendarYear,11,18),1),"ddd")</f>
        <v>mar</v>
      </c>
      <c r="U7" s="22" t="str">
        <f>TEXT(WEEKDAY(DATE(CalendarYear,11,19),1),"ddd")</f>
        <v>mié</v>
      </c>
      <c r="V7" s="22" t="str">
        <f>TEXT(WEEKDAY(DATE(CalendarYear,11,20),1),"ddd")</f>
        <v>jue</v>
      </c>
      <c r="W7" s="22" t="str">
        <f>TEXT(WEEKDAY(DATE(CalendarYear,11,21),1),"ddd")</f>
        <v>vie</v>
      </c>
      <c r="X7" s="22" t="str">
        <f>TEXT(WEEKDAY(DATE(CalendarYear,11,22),1),"ddd")</f>
        <v>sáb</v>
      </c>
      <c r="Y7" s="22" t="str">
        <f>TEXT(WEEKDAY(DATE(CalendarYear,11,23),1),"ddd")</f>
        <v>dom</v>
      </c>
      <c r="Z7" s="22" t="str">
        <f>TEXT(WEEKDAY(DATE(CalendarYear,11,24),1),"ddd")</f>
        <v>lun</v>
      </c>
      <c r="AA7" s="22" t="str">
        <f>TEXT(WEEKDAY(DATE(CalendarYear,11,25),1),"ddd")</f>
        <v>mar</v>
      </c>
      <c r="AB7" s="22" t="str">
        <f>TEXT(WEEKDAY(DATE(CalendarYear,11,26),1),"ddd")</f>
        <v>mié</v>
      </c>
      <c r="AC7" s="22" t="str">
        <f>TEXT(WEEKDAY(DATE(CalendarYear,11,27),1),"ddd")</f>
        <v>jue</v>
      </c>
      <c r="AD7" s="22" t="str">
        <f>TEXT(WEEKDAY(DATE(CalendarYear,11,28),1),"ddd")</f>
        <v>vie</v>
      </c>
      <c r="AE7" s="22" t="str">
        <f>TEXT(WEEKDAY(DATE(CalendarYear,11,29),1),"ddd")</f>
        <v>sáb</v>
      </c>
      <c r="AF7" s="22" t="str">
        <f>TEXT(WEEKDAY(DATE(CalendarYear,11,30),1),"ddd")</f>
        <v>dom</v>
      </c>
      <c r="AG7" s="22"/>
      <c r="AH7" s="6"/>
    </row>
    <row r="8" spans="2:34" ht="30" customHeight="1" x14ac:dyDescent="0.2">
      <c r="B8" s="21" t="s">
        <v>62</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35</v>
      </c>
      <c r="AH8" s="23" t="s">
        <v>58</v>
      </c>
    </row>
    <row r="9" spans="2:34" ht="30" customHeight="1" x14ac:dyDescent="0.2">
      <c r="B9" s="2" t="s">
        <v>48</v>
      </c>
      <c r="C9" s="1" t="s">
        <v>56</v>
      </c>
      <c r="D9" s="1" t="s">
        <v>56</v>
      </c>
      <c r="E9" s="1">
        <v>1</v>
      </c>
      <c r="F9" s="1">
        <v>0</v>
      </c>
      <c r="G9" s="1">
        <v>1</v>
      </c>
      <c r="H9" s="1">
        <v>0</v>
      </c>
      <c r="I9" s="1">
        <v>0</v>
      </c>
      <c r="J9" s="1" t="s">
        <v>56</v>
      </c>
      <c r="K9" s="1" t="s">
        <v>56</v>
      </c>
      <c r="L9" s="1"/>
      <c r="M9" s="1"/>
      <c r="N9" s="1"/>
      <c r="O9" s="1"/>
      <c r="P9" s="1"/>
      <c r="Q9" s="1" t="s">
        <v>56</v>
      </c>
      <c r="R9" s="1" t="s">
        <v>56</v>
      </c>
      <c r="S9" s="1"/>
      <c r="T9" s="1"/>
      <c r="U9" s="1"/>
      <c r="V9" s="1"/>
      <c r="W9" s="1"/>
      <c r="X9" s="1" t="s">
        <v>56</v>
      </c>
      <c r="Y9" s="1" t="s">
        <v>56</v>
      </c>
      <c r="Z9" s="1"/>
      <c r="AA9" s="1"/>
      <c r="AB9" s="1"/>
      <c r="AC9" s="1"/>
      <c r="AD9" s="1"/>
      <c r="AE9" s="1" t="s">
        <v>56</v>
      </c>
      <c r="AF9" s="1" t="s">
        <v>56</v>
      </c>
      <c r="AG9" s="1"/>
      <c r="AH9" s="3">
        <f>SUM(Noviembre[[#This Row],[1]:[ ]])</f>
        <v>2</v>
      </c>
    </row>
    <row r="10" spans="2:34" ht="30" customHeight="1" x14ac:dyDescent="0.2">
      <c r="B10" s="2" t="s">
        <v>49</v>
      </c>
      <c r="C10" s="1" t="s">
        <v>56</v>
      </c>
      <c r="D10" s="1" t="s">
        <v>56</v>
      </c>
      <c r="E10" s="1">
        <v>2</v>
      </c>
      <c r="F10" s="1">
        <v>0</v>
      </c>
      <c r="G10" s="1">
        <v>0</v>
      </c>
      <c r="H10" s="1">
        <v>0</v>
      </c>
      <c r="I10" s="1">
        <v>0</v>
      </c>
      <c r="J10" s="1" t="s">
        <v>56</v>
      </c>
      <c r="K10" s="1" t="s">
        <v>56</v>
      </c>
      <c r="L10" s="1"/>
      <c r="M10" s="1"/>
      <c r="N10" s="1"/>
      <c r="O10" s="1"/>
      <c r="P10" s="1"/>
      <c r="Q10" s="1" t="s">
        <v>56</v>
      </c>
      <c r="R10" s="1" t="s">
        <v>56</v>
      </c>
      <c r="S10" s="1"/>
      <c r="T10" s="1"/>
      <c r="U10" s="1"/>
      <c r="V10" s="1"/>
      <c r="W10" s="1"/>
      <c r="X10" s="1" t="s">
        <v>56</v>
      </c>
      <c r="Y10" s="1" t="s">
        <v>56</v>
      </c>
      <c r="Z10" s="1"/>
      <c r="AA10" s="1"/>
      <c r="AB10" s="1"/>
      <c r="AC10" s="1"/>
      <c r="AD10" s="1"/>
      <c r="AE10" s="1" t="s">
        <v>56</v>
      </c>
      <c r="AF10" s="1" t="s">
        <v>56</v>
      </c>
      <c r="AG10" s="1"/>
      <c r="AH10" s="3">
        <f>SUM(Noviembre[[#This Row],[1]:[ ]])</f>
        <v>2</v>
      </c>
    </row>
    <row r="11" spans="2:34" ht="30" customHeight="1" x14ac:dyDescent="0.2">
      <c r="B11" s="2" t="s">
        <v>51</v>
      </c>
      <c r="C11" s="1" t="s">
        <v>56</v>
      </c>
      <c r="D11" s="1" t="s">
        <v>56</v>
      </c>
      <c r="E11" s="1">
        <v>0</v>
      </c>
      <c r="F11" s="1">
        <v>1</v>
      </c>
      <c r="G11" s="1">
        <v>1</v>
      </c>
      <c r="H11" s="1">
        <v>0</v>
      </c>
      <c r="I11" s="1">
        <v>0</v>
      </c>
      <c r="J11" s="1" t="s">
        <v>56</v>
      </c>
      <c r="K11" s="1" t="s">
        <v>56</v>
      </c>
      <c r="L11" s="1"/>
      <c r="M11" s="1"/>
      <c r="N11" s="1"/>
      <c r="O11" s="1"/>
      <c r="P11" s="1"/>
      <c r="Q11" s="1" t="s">
        <v>56</v>
      </c>
      <c r="R11" s="1" t="s">
        <v>56</v>
      </c>
      <c r="S11" s="1"/>
      <c r="T11" s="1"/>
      <c r="U11" s="1"/>
      <c r="V11" s="1"/>
      <c r="W11" s="1"/>
      <c r="X11" s="1" t="s">
        <v>56</v>
      </c>
      <c r="Y11" s="1" t="s">
        <v>56</v>
      </c>
      <c r="Z11" s="1"/>
      <c r="AA11" s="1"/>
      <c r="AB11" s="1"/>
      <c r="AC11" s="1"/>
      <c r="AD11" s="1"/>
      <c r="AE11" s="1" t="s">
        <v>56</v>
      </c>
      <c r="AF11" s="1" t="s">
        <v>56</v>
      </c>
      <c r="AG11" s="1"/>
      <c r="AH11" s="3">
        <f>SUM(Noviembre[[#This Row],[1]:[ ]])</f>
        <v>2</v>
      </c>
    </row>
    <row r="12" spans="2:34" ht="30" customHeight="1" x14ac:dyDescent="0.2">
      <c r="B12" s="2" t="s">
        <v>52</v>
      </c>
      <c r="C12" s="1" t="s">
        <v>56</v>
      </c>
      <c r="D12" s="1" t="s">
        <v>56</v>
      </c>
      <c r="E12" s="1">
        <v>0</v>
      </c>
      <c r="F12" s="1">
        <v>0</v>
      </c>
      <c r="G12" s="1">
        <v>0</v>
      </c>
      <c r="H12" s="1">
        <v>0</v>
      </c>
      <c r="I12" s="1">
        <v>3</v>
      </c>
      <c r="J12" s="1" t="s">
        <v>56</v>
      </c>
      <c r="K12" s="1" t="s">
        <v>56</v>
      </c>
      <c r="L12" s="1"/>
      <c r="M12" s="1"/>
      <c r="N12" s="1"/>
      <c r="O12" s="1"/>
      <c r="P12" s="1"/>
      <c r="Q12" s="1" t="s">
        <v>56</v>
      </c>
      <c r="R12" s="1" t="s">
        <v>56</v>
      </c>
      <c r="S12" s="1"/>
      <c r="T12" s="1"/>
      <c r="U12" s="1"/>
      <c r="V12" s="1"/>
      <c r="W12" s="1"/>
      <c r="X12" s="1" t="s">
        <v>56</v>
      </c>
      <c r="Y12" s="1" t="s">
        <v>56</v>
      </c>
      <c r="Z12" s="1"/>
      <c r="AA12" s="1"/>
      <c r="AB12" s="1"/>
      <c r="AC12" s="1"/>
      <c r="AD12" s="1"/>
      <c r="AE12" s="1" t="s">
        <v>56</v>
      </c>
      <c r="AF12" s="1" t="s">
        <v>56</v>
      </c>
      <c r="AG12" s="1"/>
      <c r="AH12" s="3">
        <f>SUM(Noviembre[[#This Row],[1]:[ ]])</f>
        <v>3</v>
      </c>
    </row>
    <row r="13" spans="2:34" ht="30" customHeight="1" x14ac:dyDescent="0.2">
      <c r="B13" s="2" t="s">
        <v>50</v>
      </c>
      <c r="C13" s="1" t="s">
        <v>56</v>
      </c>
      <c r="D13" s="1" t="s">
        <v>56</v>
      </c>
      <c r="E13" s="1">
        <v>0</v>
      </c>
      <c r="F13" s="1">
        <v>0</v>
      </c>
      <c r="G13" s="1">
        <v>2</v>
      </c>
      <c r="H13" s="1">
        <v>1</v>
      </c>
      <c r="I13" s="1">
        <v>0</v>
      </c>
      <c r="J13" s="1" t="s">
        <v>56</v>
      </c>
      <c r="K13" s="1" t="s">
        <v>56</v>
      </c>
      <c r="L13" s="1"/>
      <c r="M13" s="1"/>
      <c r="N13" s="1"/>
      <c r="O13" s="1"/>
      <c r="P13" s="1"/>
      <c r="Q13" s="1" t="s">
        <v>56</v>
      </c>
      <c r="R13" s="1" t="s">
        <v>56</v>
      </c>
      <c r="S13" s="1"/>
      <c r="T13" s="1"/>
      <c r="U13" s="1"/>
      <c r="V13" s="1"/>
      <c r="W13" s="1"/>
      <c r="X13" s="1" t="s">
        <v>56</v>
      </c>
      <c r="Y13" s="1" t="s">
        <v>56</v>
      </c>
      <c r="Z13" s="1"/>
      <c r="AA13" s="1"/>
      <c r="AB13" s="1"/>
      <c r="AC13" s="1"/>
      <c r="AD13" s="1"/>
      <c r="AE13" s="1" t="s">
        <v>56</v>
      </c>
      <c r="AF13" s="1" t="s">
        <v>56</v>
      </c>
      <c r="AG13" s="1"/>
      <c r="AH13" s="3">
        <f>SUM(Noviembre[[#This Row],[1]:[ ]])</f>
        <v>3</v>
      </c>
    </row>
    <row r="14" spans="2:34" ht="30" customHeight="1" x14ac:dyDescent="0.2">
      <c r="B14" s="33" t="s">
        <v>59</v>
      </c>
      <c r="C14" s="4"/>
      <c r="D14" s="4"/>
      <c r="E14" s="4" t="s">
        <v>5</v>
      </c>
      <c r="F14" s="4" t="s">
        <v>5</v>
      </c>
      <c r="G14" s="4" t="s">
        <v>5</v>
      </c>
      <c r="H14" s="4" t="s">
        <v>5</v>
      </c>
      <c r="I14" s="4" t="s">
        <v>5</v>
      </c>
      <c r="J14" s="4"/>
      <c r="K14" s="4"/>
      <c r="L14" s="4"/>
      <c r="M14" s="4"/>
      <c r="N14" s="4"/>
      <c r="O14" s="4"/>
      <c r="P14" s="4"/>
      <c r="Q14" s="4"/>
      <c r="R14" s="4"/>
      <c r="S14" s="4"/>
      <c r="T14" s="4"/>
      <c r="U14" s="4"/>
      <c r="V14" s="4"/>
      <c r="W14" s="4"/>
      <c r="X14" s="4"/>
      <c r="Y14" s="4"/>
      <c r="Z14" s="4"/>
      <c r="AA14" s="4"/>
      <c r="AB14" s="4"/>
      <c r="AC14" s="4"/>
      <c r="AD14" s="4"/>
      <c r="AE14" s="4"/>
      <c r="AF14" s="4"/>
      <c r="AG14" s="4"/>
      <c r="AH14" s="4">
        <f>SUBTOTAL(109,Noviembre[Total de horas])</f>
        <v>12</v>
      </c>
    </row>
  </sheetData>
  <mergeCells count="6">
    <mergeCell ref="C6:AG6"/>
    <mergeCell ref="D4:F4"/>
    <mergeCell ref="H4:J4"/>
    <mergeCell ref="L4:N4"/>
    <mergeCell ref="P4:S4"/>
    <mergeCell ref="U4:X4"/>
  </mergeCells>
  <phoneticPr fontId="32" type="noConversion"/>
  <conditionalFormatting sqref="C9:D13">
    <cfRule type="expression" dxfId="54" priority="30" stopIfTrue="1">
      <formula>C9=KeyVacation</formula>
    </cfRule>
    <cfRule type="expression" dxfId="53" priority="29" stopIfTrue="1">
      <formula>C9=KeyPersonal</formula>
    </cfRule>
    <cfRule type="expression" dxfId="52" priority="28" stopIfTrue="1">
      <formula>C9=KeySick</formula>
    </cfRule>
    <cfRule type="expression" dxfId="51" priority="27" stopIfTrue="1">
      <formula>C9=KeyCustom1</formula>
    </cfRule>
    <cfRule type="expression" dxfId="50" priority="26" stopIfTrue="1">
      <formula>C9=KeyCustom2</formula>
    </cfRule>
    <cfRule type="expression" priority="25" stopIfTrue="1">
      <formula>C9=""</formula>
    </cfRule>
  </conditionalFormatting>
  <conditionalFormatting sqref="E9:I13 L9:P13 S9:W13 Z9:AD13 AG9:AG13">
    <cfRule type="expression" dxfId="49" priority="36" stopIfTrue="1">
      <formula>E9=KeyVacation</formula>
    </cfRule>
    <cfRule type="expression" dxfId="48" priority="35" stopIfTrue="1">
      <formula>E9=KeyPersonal</formula>
    </cfRule>
    <cfRule type="expression" dxfId="47" priority="34" stopIfTrue="1">
      <formula>E9=KeySick</formula>
    </cfRule>
    <cfRule type="expression" dxfId="46" priority="33" stopIfTrue="1">
      <formula>E9=KeyCustom1</formula>
    </cfRule>
    <cfRule type="expression" dxfId="45" priority="32" stopIfTrue="1">
      <formula>E9=KeyCustom2</formula>
    </cfRule>
    <cfRule type="expression" priority="31" stopIfTrue="1">
      <formula>E9=""</formula>
    </cfRule>
  </conditionalFormatting>
  <conditionalFormatting sqref="J9:K13">
    <cfRule type="expression" priority="19" stopIfTrue="1">
      <formula>J9=""</formula>
    </cfRule>
    <cfRule type="expression" dxfId="44" priority="20" stopIfTrue="1">
      <formula>J9=KeyCustom2</formula>
    </cfRule>
    <cfRule type="expression" dxfId="43" priority="21" stopIfTrue="1">
      <formula>J9=KeyCustom1</formula>
    </cfRule>
    <cfRule type="expression" dxfId="42" priority="22" stopIfTrue="1">
      <formula>J9=KeySick</formula>
    </cfRule>
    <cfRule type="expression" dxfId="41" priority="23" stopIfTrue="1">
      <formula>J9=KeyPersonal</formula>
    </cfRule>
    <cfRule type="expression" dxfId="40" priority="24" stopIfTrue="1">
      <formula>J9=KeyVacation</formula>
    </cfRule>
  </conditionalFormatting>
  <conditionalFormatting sqref="Q9:R13">
    <cfRule type="expression" dxfId="39" priority="14" stopIfTrue="1">
      <formula>Q9=KeyCustom2</formula>
    </cfRule>
    <cfRule type="expression" dxfId="38" priority="15" stopIfTrue="1">
      <formula>Q9=KeyCustom1</formula>
    </cfRule>
    <cfRule type="expression" dxfId="37" priority="16" stopIfTrue="1">
      <formula>Q9=KeySick</formula>
    </cfRule>
    <cfRule type="expression" dxfId="36" priority="17" stopIfTrue="1">
      <formula>Q9=KeyPersonal</formula>
    </cfRule>
    <cfRule type="expression" dxfId="35" priority="18" stopIfTrue="1">
      <formula>Q9=KeyVacation</formula>
    </cfRule>
    <cfRule type="expression" priority="13" stopIfTrue="1">
      <formula>Q9=""</formula>
    </cfRule>
  </conditionalFormatting>
  <conditionalFormatting sqref="X9:Y13">
    <cfRule type="expression" dxfId="34" priority="12" stopIfTrue="1">
      <formula>X9=KeyVacation</formula>
    </cfRule>
    <cfRule type="expression" dxfId="33" priority="11" stopIfTrue="1">
      <formula>X9=KeyPersonal</formula>
    </cfRule>
    <cfRule type="expression" dxfId="32" priority="10" stopIfTrue="1">
      <formula>X9=KeySick</formula>
    </cfRule>
    <cfRule type="expression" dxfId="31" priority="9" stopIfTrue="1">
      <formula>X9=KeyCustom1</formula>
    </cfRule>
    <cfRule type="expression" dxfId="30" priority="8" stopIfTrue="1">
      <formula>X9=KeyCustom2</formula>
    </cfRule>
    <cfRule type="expression" priority="7" stopIfTrue="1">
      <formula>X9=""</formula>
    </cfRule>
  </conditionalFormatting>
  <conditionalFormatting sqref="AE9:AF13">
    <cfRule type="expression" dxfId="29" priority="6" stopIfTrue="1">
      <formula>AE9=KeyVacation</formula>
    </cfRule>
    <cfRule type="expression" dxfId="28" priority="5" stopIfTrue="1">
      <formula>AE9=KeyPersonal</formula>
    </cfRule>
    <cfRule type="expression" dxfId="27" priority="4" stopIfTrue="1">
      <formula>AE9=KeySick</formula>
    </cfRule>
    <cfRule type="expression" dxfId="26" priority="3" stopIfTrue="1">
      <formula>AE9=KeyCustom1</formula>
    </cfRule>
    <cfRule type="expression" dxfId="25" priority="2" stopIfTrue="1">
      <formula>AE9=KeyCustom2</formula>
    </cfRule>
    <cfRule type="expression" priority="1" stopIfTrue="1">
      <formula>AE9=""</formula>
    </cfRule>
  </conditionalFormatting>
  <dataValidations count="15">
    <dataValidation allowBlank="1" showInputMessage="1" showErrorMessage="1" prompt="Los días del mes se generan automáticamente en esta fila. Especifique la ausencia del empleado y el tipo en cada columna para cada día del mes. En blanco significa que no hay ninguna ausencia" sqref="C8" xr:uid="{97706874-D6EF-7649-8BB0-992E1F25B736}"/>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A00-000001000000}"/>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EC98FC2E-5646-444E-BAE4-BBE6EF04ACBE}"/>
    <dataValidation allowBlank="1" showInputMessage="1" showErrorMessage="1" prompt="Escriba una etiqueta para describir la clave personalizada de la izquierda." sqref="U4 P4" xr:uid="{8F970F80-2081-43AC-95F0-2FA2C27B1A8A}"/>
    <dataValidation allowBlank="1" showInputMessage="1" showErrorMessage="1" prompt="Escriba una letra y personalice la etiqueta de la derecha para agregar otro elemento clave." sqref="O4 T4" xr:uid="{F043C586-1B85-45C9-BC7D-5258D45BD058}"/>
    <dataValidation allowBlank="1" showInputMessage="1" showErrorMessage="1" prompt="La letra “E” indica una ausencia por enfermedad" sqref="K4" xr:uid="{CA7D0E44-9A38-4C01-8D7B-52BEF0275C61}"/>
    <dataValidation allowBlank="1" showInputMessage="1" showErrorMessage="1" prompt="La letra “P” indica una ausencia por motivos personales" sqref="G4" xr:uid="{67CA3628-1620-450D-819D-701C26CBC59D}"/>
    <dataValidation allowBlank="1" showInputMessage="1" showErrorMessage="1" prompt="La letra “V” indica una ausencia por vacaciones" sqref="C4" xr:uid="{F96FFD30-249C-4C60-8FED-E7818A95BEC7}"/>
    <dataValidation allowBlank="1" showInputMessage="1" showErrorMessage="1" prompt="El título se actualiza automáticamente en esta celda. Para modificarlo, actualice la celda B1 en la hoja de cálculo de enero" sqref="B2" xr:uid="{00000000-0002-0000-0A00-000008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95B6DF1C-F9A2-4817-B597-EB37F547AF92}"/>
    <dataValidation allowBlank="1" showInputMessage="1" showErrorMessage="1" prompt="Realice un seguimiento de las ausencias de noviembre en esta hoja de cálculo" sqref="A1" xr:uid="{00000000-0002-0000-0A00-00000A000000}"/>
    <dataValidation allowBlank="1" showInputMessage="1" showErrorMessage="1" prompt="Cálculo automático del número total de días que un empleado ha estado ausente este mes en esta columna" sqref="AH8" xr:uid="{689D502A-5D97-B44F-AA8E-4AB5A8802DDE}"/>
    <dataValidation allowBlank="1" showInputMessage="1" showErrorMessage="1" prompt="Año actualizado automáticamente en función del año introducido en la hoja de cálculo de enero" sqref="AH6" xr:uid="{CA024147-D189-C949-8452-0A51ECF8D4AA}"/>
    <dataValidation allowBlank="1" showInputMessage="1" showErrorMessage="1" prompt="Los días laborables en esta fila se actualizan automáticamente durante el mes según el año en AH4. Cada día del mes es una columna para indicar la ausencia del empleado y el tipo de ausencia" sqref="C7" xr:uid="{DEEC83F4-4C72-7D4D-B442-B00CC4990A25}"/>
    <dataValidation allowBlank="1" showInputMessage="1" showErrorMessage="1" prompt="Esta celda contiene el título de la hoja de cálculo. " sqref="B1" xr:uid="{340E8401-68F8-4073-AC82-4434E715446B}"/>
  </dataValidations>
  <printOptions horizontalCentered="1"/>
  <pageMargins left="0.25" right="0.25" top="0.75" bottom="0.75" header="0.3" footer="0.3"/>
  <pageSetup paperSize="9" scale="71" fitToHeight="0" orientation="landscape" r:id="rId1"/>
  <headerFooter differentFirst="1">
    <oddFooter>Page &amp;P of &amp;N</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E000000}">
          <x14:formula1>
            <xm:f>'Integrantes del equipo'!$B$4:$B$8</xm:f>
          </x14:formula1>
          <xm:sqref>B9:B13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39997558519241921"/>
    <pageSetUpPr fitToPage="1"/>
  </sheetPr>
  <dimension ref="B1:AH14"/>
  <sheetViews>
    <sheetView showGridLines="0" zoomScaleNormal="100" workbookViewId="0">
      <selection activeCell="T15" sqref="T15"/>
    </sheetView>
  </sheetViews>
  <sheetFormatPr defaultColWidth="8.7421875" defaultRowHeight="30" customHeight="1" x14ac:dyDescent="0.2"/>
  <cols>
    <col min="1" max="1" width="2.6875" customWidth="1"/>
    <col min="2" max="2" width="36.05078125" customWidth="1"/>
    <col min="3" max="33" width="4.70703125" customWidth="1"/>
    <col min="34" max="34" width="15.46875" customWidth="1"/>
    <col min="35" max="35" width="2.6875" customWidth="1"/>
  </cols>
  <sheetData>
    <row r="1" spans="2:34" ht="49.9" customHeight="1" x14ac:dyDescent="0.3">
      <c r="B1" s="25" t="s">
        <v>53</v>
      </c>
    </row>
    <row r="2" spans="2:34" ht="100.15" customHeight="1" x14ac:dyDescent="0.2">
      <c r="B2" s="24" t="s">
        <v>46</v>
      </c>
    </row>
    <row r="3" spans="2:34" ht="15" customHeight="1" x14ac:dyDescent="0.2">
      <c r="B3" s="9"/>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row>
    <row r="4" spans="2:34" ht="30" customHeight="1" x14ac:dyDescent="0.2">
      <c r="B4" s="7" t="s">
        <v>63</v>
      </c>
      <c r="C4" s="32" t="s">
        <v>56</v>
      </c>
      <c r="D4" s="37" t="s">
        <v>55</v>
      </c>
      <c r="E4" s="37"/>
      <c r="F4" s="37"/>
      <c r="G4" s="34" t="s">
        <v>4</v>
      </c>
      <c r="H4" s="37" t="s">
        <v>65</v>
      </c>
      <c r="I4" s="37"/>
      <c r="J4" s="37"/>
      <c r="K4" s="28"/>
      <c r="L4" s="37" t="s">
        <v>57</v>
      </c>
      <c r="M4" s="37"/>
      <c r="N4" s="37"/>
      <c r="O4" s="18"/>
      <c r="P4" s="37" t="s">
        <v>57</v>
      </c>
      <c r="Q4" s="37"/>
      <c r="R4" s="37"/>
      <c r="S4" s="37"/>
      <c r="T4" s="19"/>
      <c r="U4" s="37" t="s">
        <v>57</v>
      </c>
      <c r="V4" s="37"/>
      <c r="W4" s="37"/>
      <c r="X4" s="37"/>
    </row>
    <row r="5" spans="2:34" ht="15" customHeight="1" x14ac:dyDescent="0.2">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row>
    <row r="6" spans="2:34" ht="49.9" customHeight="1" x14ac:dyDescent="0.2">
      <c r="B6" s="6"/>
      <c r="C6" s="36" t="s">
        <v>60</v>
      </c>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6">
        <f>CalendarYear</f>
        <v>2025</v>
      </c>
    </row>
    <row r="7" spans="2:34" ht="30" customHeight="1" x14ac:dyDescent="0.2">
      <c r="B7" s="6"/>
      <c r="C7" s="22" t="str">
        <f>TEXT(WEEKDAY(DATE(CalendarYear,12,1),1),"ddd")</f>
        <v>lun</v>
      </c>
      <c r="D7" s="22" t="str">
        <f>TEXT(WEEKDAY(DATE(CalendarYear,12,2),1),"ddd")</f>
        <v>mar</v>
      </c>
      <c r="E7" s="22" t="str">
        <f>TEXT(WEEKDAY(DATE(CalendarYear,12,3),1),"ddd")</f>
        <v>mié</v>
      </c>
      <c r="F7" s="22" t="str">
        <f>TEXT(WEEKDAY(DATE(CalendarYear,12,4),1),"ddd")</f>
        <v>jue</v>
      </c>
      <c r="G7" s="22" t="str">
        <f>TEXT(WEEKDAY(DATE(CalendarYear,12,5),1),"ddd")</f>
        <v>vie</v>
      </c>
      <c r="H7" s="22" t="str">
        <f>TEXT(WEEKDAY(DATE(CalendarYear,12,6),1),"ddd")</f>
        <v>sáb</v>
      </c>
      <c r="I7" s="22" t="str">
        <f>TEXT(WEEKDAY(DATE(CalendarYear,12,7),1),"ddd")</f>
        <v>dom</v>
      </c>
      <c r="J7" s="22" t="str">
        <f>TEXT(WEEKDAY(DATE(CalendarYear,12,8),1),"ddd")</f>
        <v>lun</v>
      </c>
      <c r="K7" s="22" t="str">
        <f>TEXT(WEEKDAY(DATE(CalendarYear,12,9),1),"ddd")</f>
        <v>mar</v>
      </c>
      <c r="L7" s="22" t="str">
        <f>TEXT(WEEKDAY(DATE(CalendarYear,12,10),1),"ddd")</f>
        <v>mié</v>
      </c>
      <c r="M7" s="22" t="str">
        <f>TEXT(WEEKDAY(DATE(CalendarYear,12,11),1),"ddd")</f>
        <v>jue</v>
      </c>
      <c r="N7" s="22" t="str">
        <f>TEXT(WEEKDAY(DATE(CalendarYear,12,12),1),"ddd")</f>
        <v>vie</v>
      </c>
      <c r="O7" s="22" t="str">
        <f>TEXT(WEEKDAY(DATE(CalendarYear,12,13),1),"ddd")</f>
        <v>sáb</v>
      </c>
      <c r="P7" s="22" t="str">
        <f>TEXT(WEEKDAY(DATE(CalendarYear,12,14),1),"ddd")</f>
        <v>dom</v>
      </c>
      <c r="Q7" s="22" t="str">
        <f>TEXT(WEEKDAY(DATE(CalendarYear,12,15),1),"ddd")</f>
        <v>lun</v>
      </c>
      <c r="R7" s="22" t="str">
        <f>TEXT(WEEKDAY(DATE(CalendarYear,12,16),1),"ddd")</f>
        <v>mar</v>
      </c>
      <c r="S7" s="22" t="str">
        <f>TEXT(WEEKDAY(DATE(CalendarYear,12,17),1),"ddd")</f>
        <v>mié</v>
      </c>
      <c r="T7" s="22" t="str">
        <f>TEXT(WEEKDAY(DATE(CalendarYear,12,18),1),"ddd")</f>
        <v>jue</v>
      </c>
      <c r="U7" s="22" t="str">
        <f>TEXT(WEEKDAY(DATE(CalendarYear,12,19),1),"ddd")</f>
        <v>vie</v>
      </c>
      <c r="V7" s="22" t="str">
        <f>TEXT(WEEKDAY(DATE(CalendarYear,12,20),1),"ddd")</f>
        <v>sáb</v>
      </c>
      <c r="W7" s="22" t="str">
        <f>TEXT(WEEKDAY(DATE(CalendarYear,12,21),1),"ddd")</f>
        <v>dom</v>
      </c>
      <c r="X7" s="22" t="str">
        <f>TEXT(WEEKDAY(DATE(CalendarYear,12,22),1),"ddd")</f>
        <v>lun</v>
      </c>
      <c r="Y7" s="22" t="str">
        <f>TEXT(WEEKDAY(DATE(CalendarYear,12,23),1),"ddd")</f>
        <v>mar</v>
      </c>
      <c r="Z7" s="22" t="str">
        <f>TEXT(WEEKDAY(DATE(CalendarYear,12,24),1),"ddd")</f>
        <v>mié</v>
      </c>
      <c r="AA7" s="22" t="str">
        <f>TEXT(WEEKDAY(DATE(CalendarYear,12,25),1),"ddd")</f>
        <v>jue</v>
      </c>
      <c r="AB7" s="22" t="str">
        <f>TEXT(WEEKDAY(DATE(CalendarYear,12,26),1),"ddd")</f>
        <v>vie</v>
      </c>
      <c r="AC7" s="22" t="str">
        <f>TEXT(WEEKDAY(DATE(CalendarYear,12,27),1),"ddd")</f>
        <v>sáb</v>
      </c>
      <c r="AD7" s="22" t="str">
        <f>TEXT(WEEKDAY(DATE(CalendarYear,12,28),1),"ddd")</f>
        <v>dom</v>
      </c>
      <c r="AE7" s="22" t="str">
        <f>TEXT(WEEKDAY(DATE(CalendarYear,12,29),1),"ddd")</f>
        <v>lun</v>
      </c>
      <c r="AF7" s="22" t="str">
        <f>TEXT(WEEKDAY(DATE(CalendarYear,12,30),1),"ddd")</f>
        <v>mar</v>
      </c>
      <c r="AG7" s="22" t="str">
        <f>TEXT(WEEKDAY(DATE(CalendarYear,12,31),1),"ddd")</f>
        <v>mié</v>
      </c>
      <c r="AH7" s="6"/>
    </row>
    <row r="8" spans="2:34" ht="30" customHeight="1" x14ac:dyDescent="0.2">
      <c r="B8" s="21" t="s">
        <v>54</v>
      </c>
      <c r="C8" s="1" t="s">
        <v>1</v>
      </c>
      <c r="D8" s="1" t="s">
        <v>2</v>
      </c>
      <c r="E8" s="1" t="s">
        <v>3</v>
      </c>
      <c r="F8" s="1" t="s">
        <v>5</v>
      </c>
      <c r="G8" s="1" t="s">
        <v>6</v>
      </c>
      <c r="H8" s="1" t="s">
        <v>7</v>
      </c>
      <c r="I8" s="1" t="s">
        <v>8</v>
      </c>
      <c r="J8" s="1" t="s">
        <v>9</v>
      </c>
      <c r="K8" s="1" t="s">
        <v>10</v>
      </c>
      <c r="L8" s="1" t="s">
        <v>11</v>
      </c>
      <c r="M8" s="1" t="s">
        <v>12</v>
      </c>
      <c r="N8" s="1" t="s">
        <v>13</v>
      </c>
      <c r="O8" s="1" t="s">
        <v>14</v>
      </c>
      <c r="P8" s="1" t="s">
        <v>15</v>
      </c>
      <c r="Q8" s="1" t="s">
        <v>16</v>
      </c>
      <c r="R8" s="1" t="s">
        <v>17</v>
      </c>
      <c r="S8" s="1" t="s">
        <v>18</v>
      </c>
      <c r="T8" s="1" t="s">
        <v>19</v>
      </c>
      <c r="U8" s="1" t="s">
        <v>20</v>
      </c>
      <c r="V8" s="1" t="s">
        <v>21</v>
      </c>
      <c r="W8" s="1" t="s">
        <v>22</v>
      </c>
      <c r="X8" s="1" t="s">
        <v>23</v>
      </c>
      <c r="Y8" s="1" t="s">
        <v>24</v>
      </c>
      <c r="Z8" s="1" t="s">
        <v>25</v>
      </c>
      <c r="AA8" s="1" t="s">
        <v>26</v>
      </c>
      <c r="AB8" s="1" t="s">
        <v>27</v>
      </c>
      <c r="AC8" s="1" t="s">
        <v>28</v>
      </c>
      <c r="AD8" s="1" t="s">
        <v>29</v>
      </c>
      <c r="AE8" s="1" t="s">
        <v>30</v>
      </c>
      <c r="AF8" s="1" t="s">
        <v>31</v>
      </c>
      <c r="AG8" s="1" t="s">
        <v>32</v>
      </c>
      <c r="AH8" s="23" t="s">
        <v>58</v>
      </c>
    </row>
    <row r="9" spans="2:34" ht="30" customHeight="1" x14ac:dyDescent="0.2">
      <c r="B9" s="2" t="s">
        <v>48</v>
      </c>
      <c r="C9" s="1"/>
      <c r="D9" s="1"/>
      <c r="E9" s="1"/>
      <c r="F9" s="1"/>
      <c r="G9" s="1"/>
      <c r="H9" s="1" t="s">
        <v>56</v>
      </c>
      <c r="I9" s="1" t="s">
        <v>56</v>
      </c>
      <c r="J9" s="1"/>
      <c r="K9" s="1"/>
      <c r="L9" s="1"/>
      <c r="M9" s="1"/>
      <c r="N9" s="1"/>
      <c r="O9" s="20" t="s">
        <v>56</v>
      </c>
      <c r="P9" s="20" t="s">
        <v>56</v>
      </c>
      <c r="Q9" s="1"/>
      <c r="R9" s="1"/>
      <c r="S9" s="1"/>
      <c r="T9" s="1"/>
      <c r="U9" s="1"/>
      <c r="V9" s="20" t="s">
        <v>56</v>
      </c>
      <c r="W9" s="20" t="s">
        <v>56</v>
      </c>
      <c r="X9" s="1"/>
      <c r="Y9" s="1"/>
      <c r="Z9" s="1"/>
      <c r="AA9" s="1"/>
      <c r="AB9" s="1"/>
      <c r="AC9" s="20" t="s">
        <v>56</v>
      </c>
      <c r="AD9" s="20" t="s">
        <v>56</v>
      </c>
      <c r="AE9" s="1"/>
      <c r="AF9" s="1"/>
      <c r="AG9" s="1"/>
      <c r="AH9" s="3">
        <f>SUM(Diciembre[[#This Row],[1]:[31]])</f>
        <v>0</v>
      </c>
    </row>
    <row r="10" spans="2:34" ht="30" customHeight="1" x14ac:dyDescent="0.2">
      <c r="B10" s="2" t="s">
        <v>49</v>
      </c>
      <c r="C10" s="1"/>
      <c r="D10" s="1"/>
      <c r="E10" s="1"/>
      <c r="F10" s="1"/>
      <c r="G10" s="1"/>
      <c r="H10" s="1" t="s">
        <v>56</v>
      </c>
      <c r="I10" s="1" t="s">
        <v>56</v>
      </c>
      <c r="J10" s="1"/>
      <c r="K10" s="1"/>
      <c r="L10" s="1"/>
      <c r="M10" s="1"/>
      <c r="N10" s="1"/>
      <c r="O10" s="1" t="s">
        <v>56</v>
      </c>
      <c r="P10" s="1" t="s">
        <v>56</v>
      </c>
      <c r="Q10" s="1"/>
      <c r="R10" s="1"/>
      <c r="S10" s="1"/>
      <c r="T10" s="1"/>
      <c r="U10" s="1"/>
      <c r="V10" s="1" t="s">
        <v>56</v>
      </c>
      <c r="W10" s="1" t="s">
        <v>56</v>
      </c>
      <c r="X10" s="1"/>
      <c r="Y10" s="1"/>
      <c r="Z10" s="1"/>
      <c r="AA10" s="1"/>
      <c r="AB10" s="1"/>
      <c r="AC10" s="1" t="s">
        <v>56</v>
      </c>
      <c r="AD10" s="1" t="s">
        <v>56</v>
      </c>
      <c r="AE10" s="1"/>
      <c r="AF10" s="1"/>
      <c r="AG10" s="1"/>
      <c r="AH10" s="3">
        <f>SUM(Diciembre[[#This Row],[1]:[31]])</f>
        <v>0</v>
      </c>
    </row>
    <row r="11" spans="2:34" ht="30" customHeight="1" x14ac:dyDescent="0.2">
      <c r="B11" s="2" t="s">
        <v>51</v>
      </c>
      <c r="C11" s="1"/>
      <c r="D11" s="1"/>
      <c r="E11" s="1"/>
      <c r="F11" s="1"/>
      <c r="G11" s="1"/>
      <c r="H11" s="1" t="s">
        <v>56</v>
      </c>
      <c r="I11" s="1" t="s">
        <v>56</v>
      </c>
      <c r="J11" s="1"/>
      <c r="K11" s="1"/>
      <c r="L11" s="1"/>
      <c r="M11" s="1"/>
      <c r="N11" s="1"/>
      <c r="O11" s="1" t="s">
        <v>56</v>
      </c>
      <c r="P11" s="1" t="s">
        <v>56</v>
      </c>
      <c r="Q11" s="1"/>
      <c r="R11" s="1"/>
      <c r="S11" s="1"/>
      <c r="T11" s="1"/>
      <c r="U11" s="1"/>
      <c r="V11" s="1" t="s">
        <v>56</v>
      </c>
      <c r="W11" s="1" t="s">
        <v>56</v>
      </c>
      <c r="X11" s="1"/>
      <c r="Y11" s="1"/>
      <c r="Z11" s="1"/>
      <c r="AA11" s="1"/>
      <c r="AB11" s="1"/>
      <c r="AC11" s="1" t="s">
        <v>56</v>
      </c>
      <c r="AD11" s="1" t="s">
        <v>56</v>
      </c>
      <c r="AE11" s="1"/>
      <c r="AF11" s="1"/>
      <c r="AG11" s="1"/>
      <c r="AH11" s="3">
        <f>SUM(Diciembre[[#This Row],[1]:[31]])</f>
        <v>0</v>
      </c>
    </row>
    <row r="12" spans="2:34" ht="30" customHeight="1" x14ac:dyDescent="0.2">
      <c r="B12" s="2" t="s">
        <v>52</v>
      </c>
      <c r="C12" s="1"/>
      <c r="D12" s="1"/>
      <c r="E12" s="1"/>
      <c r="F12" s="1"/>
      <c r="G12" s="1"/>
      <c r="H12" s="1" t="s">
        <v>56</v>
      </c>
      <c r="I12" s="1" t="s">
        <v>56</v>
      </c>
      <c r="J12" s="1"/>
      <c r="K12" s="1"/>
      <c r="L12" s="1"/>
      <c r="M12" s="1"/>
      <c r="N12" s="1"/>
      <c r="O12" s="1" t="s">
        <v>56</v>
      </c>
      <c r="P12" s="1" t="s">
        <v>56</v>
      </c>
      <c r="Q12" s="1"/>
      <c r="R12" s="1"/>
      <c r="S12" s="1"/>
      <c r="T12" s="1"/>
      <c r="U12" s="1"/>
      <c r="V12" s="1" t="s">
        <v>56</v>
      </c>
      <c r="W12" s="1" t="s">
        <v>56</v>
      </c>
      <c r="X12" s="1"/>
      <c r="Y12" s="1"/>
      <c r="Z12" s="1"/>
      <c r="AA12" s="1"/>
      <c r="AB12" s="1"/>
      <c r="AC12" s="1" t="s">
        <v>56</v>
      </c>
      <c r="AD12" s="1" t="s">
        <v>56</v>
      </c>
      <c r="AE12" s="1"/>
      <c r="AF12" s="1"/>
      <c r="AG12" s="1"/>
      <c r="AH12" s="3">
        <f>SUM(Diciembre[[#This Row],[1]:[31]])</f>
        <v>0</v>
      </c>
    </row>
    <row r="13" spans="2:34" ht="30" customHeight="1" x14ac:dyDescent="0.2">
      <c r="B13" s="2" t="s">
        <v>50</v>
      </c>
      <c r="C13" s="1"/>
      <c r="D13" s="1"/>
      <c r="E13" s="1"/>
      <c r="F13" s="1"/>
      <c r="G13" s="1"/>
      <c r="H13" s="1" t="s">
        <v>56</v>
      </c>
      <c r="I13" s="1" t="s">
        <v>56</v>
      </c>
      <c r="J13" s="1"/>
      <c r="K13" s="1"/>
      <c r="L13" s="1"/>
      <c r="M13" s="1"/>
      <c r="N13" s="1"/>
      <c r="O13" s="1" t="s">
        <v>56</v>
      </c>
      <c r="P13" s="1" t="s">
        <v>56</v>
      </c>
      <c r="Q13" s="1"/>
      <c r="R13" s="1"/>
      <c r="S13" s="1"/>
      <c r="T13" s="1"/>
      <c r="U13" s="1"/>
      <c r="V13" s="1" t="s">
        <v>56</v>
      </c>
      <c r="W13" s="1" t="s">
        <v>56</v>
      </c>
      <c r="X13" s="1"/>
      <c r="Y13" s="1"/>
      <c r="Z13" s="1"/>
      <c r="AA13" s="1"/>
      <c r="AB13" s="1"/>
      <c r="AC13" s="1" t="s">
        <v>56</v>
      </c>
      <c r="AD13" s="1" t="s">
        <v>56</v>
      </c>
      <c r="AE13" s="1"/>
      <c r="AF13" s="1"/>
      <c r="AG13" s="1"/>
      <c r="AH13" s="3">
        <f>SUM(Diciembre[[#This Row],[1]:[31]])</f>
        <v>0</v>
      </c>
    </row>
    <row r="14" spans="2:34" ht="30" customHeight="1" x14ac:dyDescent="0.2">
      <c r="B14" s="33" t="s">
        <v>59</v>
      </c>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f>SUBTOTAL(109,Diciembre[Total de horas])</f>
        <v>0</v>
      </c>
    </row>
  </sheetData>
  <mergeCells count="6">
    <mergeCell ref="C6:AG6"/>
    <mergeCell ref="D4:F4"/>
    <mergeCell ref="H4:J4"/>
    <mergeCell ref="L4:N4"/>
    <mergeCell ref="P4:S4"/>
    <mergeCell ref="U4:X4"/>
  </mergeCells>
  <phoneticPr fontId="32" type="noConversion"/>
  <conditionalFormatting sqref="C9:G13 J9:N13 Q9:U13 X9:AB13 AE9:AG13">
    <cfRule type="expression" dxfId="24" priority="30" stopIfTrue="1">
      <formula>C9=KeyVacation</formula>
    </cfRule>
    <cfRule type="expression" dxfId="23" priority="29" stopIfTrue="1">
      <formula>C9=KeyPersonal</formula>
    </cfRule>
    <cfRule type="expression" dxfId="22" priority="28" stopIfTrue="1">
      <formula>C9=KeySick</formula>
    </cfRule>
    <cfRule type="expression" dxfId="21" priority="27" stopIfTrue="1">
      <formula>C9=KeyCustom1</formula>
    </cfRule>
    <cfRule type="expression" dxfId="20" priority="26" stopIfTrue="1">
      <formula>C9=KeyCustom2</formula>
    </cfRule>
    <cfRule type="expression" priority="25" stopIfTrue="1">
      <formula>C9=""</formula>
    </cfRule>
  </conditionalFormatting>
  <conditionalFormatting sqref="H9:I13">
    <cfRule type="expression" dxfId="19" priority="24" stopIfTrue="1">
      <formula>H9=KeyVacation</formula>
    </cfRule>
    <cfRule type="expression" dxfId="18" priority="23" stopIfTrue="1">
      <formula>H9=KeyPersonal</formula>
    </cfRule>
    <cfRule type="expression" dxfId="17" priority="22" stopIfTrue="1">
      <formula>H9=KeySick</formula>
    </cfRule>
    <cfRule type="expression" dxfId="16" priority="21" stopIfTrue="1">
      <formula>H9=KeyCustom1</formula>
    </cfRule>
    <cfRule type="expression" dxfId="15" priority="20" stopIfTrue="1">
      <formula>H9=KeyCustom2</formula>
    </cfRule>
    <cfRule type="expression" priority="19" stopIfTrue="1">
      <formula>H9=""</formula>
    </cfRule>
  </conditionalFormatting>
  <conditionalFormatting sqref="O9:P13">
    <cfRule type="expression" dxfId="14" priority="16" stopIfTrue="1">
      <formula>O9=KeySick</formula>
    </cfRule>
    <cfRule type="expression" dxfId="13" priority="14" stopIfTrue="1">
      <formula>O9=KeyCustom2</formula>
    </cfRule>
    <cfRule type="expression" dxfId="12" priority="15" stopIfTrue="1">
      <formula>O9=KeyCustom1</formula>
    </cfRule>
    <cfRule type="expression" priority="13" stopIfTrue="1">
      <formula>O9=""</formula>
    </cfRule>
    <cfRule type="expression" dxfId="11" priority="17" stopIfTrue="1">
      <formula>O9=KeyPersonal</formula>
    </cfRule>
    <cfRule type="expression" dxfId="10" priority="18" stopIfTrue="1">
      <formula>O9=KeyVacation</formula>
    </cfRule>
  </conditionalFormatting>
  <conditionalFormatting sqref="V9:W13">
    <cfRule type="expression" dxfId="9" priority="12" stopIfTrue="1">
      <formula>V9=KeyVacation</formula>
    </cfRule>
    <cfRule type="expression" dxfId="8" priority="11" stopIfTrue="1">
      <formula>V9=KeyPersonal</formula>
    </cfRule>
    <cfRule type="expression" dxfId="7" priority="10" stopIfTrue="1">
      <formula>V9=KeySick</formula>
    </cfRule>
    <cfRule type="expression" dxfId="6" priority="9" stopIfTrue="1">
      <formula>V9=KeyCustom1</formula>
    </cfRule>
    <cfRule type="expression" dxfId="5" priority="8" stopIfTrue="1">
      <formula>V9=KeyCustom2</formula>
    </cfRule>
    <cfRule type="expression" priority="7" stopIfTrue="1">
      <formula>V9=""</formula>
    </cfRule>
  </conditionalFormatting>
  <conditionalFormatting sqref="AC9:AD13">
    <cfRule type="expression" dxfId="4" priority="6" stopIfTrue="1">
      <formula>AC9=KeyVacation</formula>
    </cfRule>
    <cfRule type="expression" dxfId="3" priority="5" stopIfTrue="1">
      <formula>AC9=KeyPersonal</formula>
    </cfRule>
    <cfRule type="expression" dxfId="2" priority="4" stopIfTrue="1">
      <formula>AC9=KeySick</formula>
    </cfRule>
    <cfRule type="expression" dxfId="1" priority="3" stopIfTrue="1">
      <formula>AC9=KeyCustom1</formula>
    </cfRule>
    <cfRule type="expression" dxfId="0" priority="2" stopIfTrue="1">
      <formula>AC9=KeyCustom2</formula>
    </cfRule>
    <cfRule type="expression" priority="1" stopIfTrue="1">
      <formula>AC9=""</formula>
    </cfRule>
  </conditionalFormatting>
  <dataValidations count="14">
    <dataValidation allowBlank="1" showInputMessage="1" showErrorMessage="1" prompt="Año actualizado de forma automática en función del año introducido en la hoja de cálculo de enero" sqref="AH6" xr:uid="{F939E1BE-E9C7-DD4A-972C-CB40EF785EA4}"/>
    <dataValidation allowBlank="1" showInputMessage="1" showErrorMessage="1" prompt="Cálculo automático del número total de días que un empleado ha estado ausente este mes en esta columna" sqref="AH8" xr:uid="{E810E773-697E-9042-BA14-6FFBF70DB80B}"/>
    <dataValidation allowBlank="1" showInputMessage="1" showErrorMessage="1" prompt="Realice un seguimiento de las ausencias de diciembre en esta hoja de cálculo." sqref="A1" xr:uid="{00000000-0002-0000-0B00-000002000000}"/>
    <dataValidation errorStyle="warning" allowBlank="1" showInputMessage="1" showErrorMessage="1" error="Seleccione un nombre de la lista. Seleccione CANCELAR y, después, ALT+FLECHA ABAJO y ENTRAR para seleccionar un nombre" prompt="Escriba los nombres de los empleados en la hoja de cálculo Nombres de empleados y, después, seleccione uno de los nombres de la lista de esta columna. Presione ALT+FLECHA ABAJO y ENTRAR para seleccionar un nombre" sqref="B8" xr:uid="{F25CB198-02E4-9141-B0E1-E7775C53D7BD}"/>
    <dataValidation allowBlank="1" showInputMessage="1" showErrorMessage="1" prompt="La letra “V” indica una ausencia por vacaciones" sqref="C4" xr:uid="{A347C592-0AAB-4EE8-8DA3-10A965F2B2C6}"/>
    <dataValidation allowBlank="1" showInputMessage="1" showErrorMessage="1" prompt="La letra “P” indica una ausencia por motivos personales" sqref="G4" xr:uid="{48A369F4-885C-45F5-96E2-F534FB9F56B5}"/>
    <dataValidation allowBlank="1" showInputMessage="1" showErrorMessage="1" prompt="La letra “E” indica una ausencia por enfermedad" sqref="K4" xr:uid="{EB1B202F-C650-4D9A-9D4E-21C3DBE27591}"/>
    <dataValidation allowBlank="1" showInputMessage="1" showErrorMessage="1" prompt="Escriba una letra y personalice la etiqueta de la derecha para agregar otro elemento clave." sqref="O4 T4" xr:uid="{102FF540-26FB-4913-8376-80EF9715AE38}"/>
    <dataValidation allowBlank="1" showInputMessage="1" showErrorMessage="1" prompt="Escriba una etiqueta para describir la clave personalizada de la izquierda." sqref="U4 P4" xr:uid="{95CBEA95-A36B-47FB-80B1-27F25343EF4B}"/>
    <dataValidation allowBlank="1" showInputMessage="1" showErrorMessage="1" prompt="El nombre del mes de este plan de ausencias está en esta celda. Los totales de las ausencias para este mes aparecen en la última celda de la tabla. Seleccione los nombres de los empleados en la columna B de la tabla" sqref="B2" xr:uid="{00000000-0002-0000-0B00-00000B000000}"/>
    <dataValidation allowBlank="1" showInputMessage="1" showErrorMessage="1" prompt="Los días del mes se generan automáticamente en esta fila. Especifique la ausencia del empleado y el tipo en cada columna para cada día del mes. En blanco significa que no hay ninguna ausencia" sqref="C8" xr:uid="{0482EFB3-0A55-4547-B0F2-69F4B25A0231}"/>
    <dataValidation allowBlank="1" showInputMessage="1" showErrorMessage="1" prompt="Esta celda contiene el título de la hoja de cálculo. " sqref="B1" xr:uid="{B050F793-42DF-4309-BE31-8CA6B9D9A2C8}"/>
    <dataValidation allowBlank="1" showInputMessage="1" showErrorMessage="1" prompt="Los días laborables en esta fila se actualizan automáticamente durante el mes según el año en AH4. Cada día del mes es una columna para indicar la ausencia del empleado y el tipo de ausencia" sqref="C7" xr:uid="{CB1E42E3-65E1-5041-91B2-633C92F4BB63}"/>
    <dataValidation allowBlank="1" showInputMessage="1" showErrorMessage="1" prompt="Esta fila define las claves que se usan en la tabla: la celda C4 es para vacaciones, la celda G4 es para asuntos personales y la celda K4 es baja por enfermedad. Las celdas N4 y R4 se pueden personalizar" sqref="B4" xr:uid="{9FC1AE40-F4E7-45F9-B683-85B1C9A0810B}"/>
  </dataValidations>
  <printOptions horizontalCentered="1"/>
  <pageMargins left="0.25" right="0.25" top="0.75" bottom="0.75" header="0.3" footer="0.3"/>
  <pageSetup paperSize="9" scale="75" fitToHeight="0" orientation="landscape" r:id="rId1"/>
  <headerFooter differentFirst="1">
    <oddFooter>Page &amp;P of &amp;N</oddFooter>
  </headerFooter>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E000000}">
          <x14:formula1>
            <xm:f>'Integrantes del equipo'!$B$4:$B$8</xm:f>
          </x14:formula1>
          <xm:sqref>B9:B13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C9C07F-CF0F-4409-BAA3-C354F11EB275}">
  <ds:schemaRefs>
    <ds:schemaRef ds:uri="http://schemas.microsoft.com/office/2006/metadata/properties"/>
    <ds:schemaRef ds:uri="http://www.w3.org/2000/xmlns/"/>
    <ds:schemaRef ds:uri="http://schemas.microsoft.com/sharepoint/v3"/>
    <ds:schemaRef ds:uri="http://www.w3.org/2001/XMLSchema-instance"/>
    <ds:schemaRef ds:uri="71af3243-3dd4-4a8d-8c0d-dd76da1f02a5"/>
    <ds:schemaRef ds:uri="http://schemas.microsoft.com/office/infopath/2007/PartnerControls"/>
    <ds:schemaRef ds:uri="230e9df3-be65-4c73-a93b-d1236ebd677e"/>
  </ds:schemaRefs>
</ds:datastoreItem>
</file>

<file path=customXml/itemProps2.xml><?xml version="1.0" encoding="utf-8"?>
<ds:datastoreItem xmlns:ds="http://schemas.openxmlformats.org/officeDocument/2006/customXml" ds:itemID="{F7C3FC7C-9297-43AA-910A-A37A0E734325}">
  <ds:schemaRefs>
    <ds:schemaRef ds:uri="http://schemas.microsoft.com/DataMashup"/>
  </ds:schemaRefs>
</ds:datastoreItem>
</file>

<file path=customXml/itemProps3.xml><?xml version="1.0" encoding="utf-8"?>
<ds:datastoreItem xmlns:ds="http://schemas.openxmlformats.org/officeDocument/2006/customXml" ds:itemID="{957AB40D-2CA3-4584-B4A5-128B4062B6A7}">
  <ds:schemaRefs>
    <ds:schemaRef ds:uri="http://schemas.microsoft.com/office/2006/metadata/contentType"/>
    <ds:schemaRef ds:uri="http://schemas.microsoft.com/office/2006/metadata/properties/metaAttributes"/>
    <ds:schemaRef ds:uri="http://www.w3.org/2000/xmlns/"/>
    <ds:schemaRef ds:uri="http://www.w3.org/2001/XMLSchema"/>
    <ds:schemaRef ds:uri="http://schemas.microsoft.com/sharepoint/v3"/>
    <ds:schemaRef ds:uri="71af3243-3dd4-4a8d-8c0d-dd76da1f02a5"/>
    <ds:schemaRef ds:uri="16c05727-aa75-4e4a-9b5f-8a80a1165891"/>
    <ds:schemaRef ds:uri="230e9df3-be65-4c73-a93b-d1236ebd677e"/>
  </ds:schemaRefs>
</ds:datastoreItem>
</file>

<file path=customXml/itemProps4.xml><?xml version="1.0" encoding="utf-8"?>
<ds:datastoreItem xmlns:ds="http://schemas.openxmlformats.org/officeDocument/2006/customXml" ds:itemID="{51F058CA-AF0F-4794-AA37-06C85ADD9B08}">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TM03987167</Template>
  <Application>Excel Android</Application>
  <DocSecurity>0</DocSecurity>
  <ScaleCrop>false</ScaleCrop>
  <HeadingPairs>
    <vt:vector size="4" baseType="variant">
      <vt:variant>
        <vt:lpstr>Hojas de cálculo</vt:lpstr>
      </vt:variant>
      <vt:variant>
        <vt:i4>13</vt:i4>
      </vt:variant>
      <vt:variant>
        <vt:lpstr>Rangos con nombre</vt:lpstr>
      </vt:variant>
      <vt:variant>
        <vt:i4>50</vt:i4>
      </vt:variant>
    </vt:vector>
  </HeadingPairs>
  <TitlesOfParts>
    <vt:vector size="63" baseType="lpstr">
      <vt:lpstr>Integrantes del equipo</vt:lpstr>
      <vt:lpstr>Enero</vt:lpstr>
      <vt:lpstr>Febrero</vt:lpstr>
      <vt:lpstr>Marzo</vt:lpstr>
      <vt:lpstr>Abril</vt:lpstr>
      <vt:lpstr>Mayo</vt:lpstr>
      <vt:lpstr>Junio</vt:lpstr>
      <vt:lpstr>Julio</vt:lpstr>
      <vt:lpstr>Agosto</vt:lpstr>
      <vt:lpstr>Septiembre</vt:lpstr>
      <vt:lpstr>Octubre</vt:lpstr>
      <vt:lpstr>Noviembre</vt:lpstr>
      <vt:lpstr>Diciembre</vt:lpstr>
      <vt:lpstr>CalendarYear</vt:lpstr>
      <vt:lpstr>ColumnTitle13</vt:lpstr>
      <vt:lpstr>Employee_Absence_Title</vt:lpstr>
      <vt:lpstr>Key_name</vt:lpstr>
      <vt:lpstr>KeyCustom1</vt:lpstr>
      <vt:lpstr>KeyCustom1Label</vt:lpstr>
      <vt:lpstr>KeyCustom2</vt:lpstr>
      <vt:lpstr>KeyCustom2Label</vt:lpstr>
      <vt:lpstr>KeyPersonal</vt:lpstr>
      <vt:lpstr>KeyPersonalLabel</vt:lpstr>
      <vt:lpstr>KeySick</vt:lpstr>
      <vt:lpstr>KeySickLabel</vt:lpstr>
      <vt:lpstr>KeyVacation</vt:lpstr>
      <vt:lpstr>KeyVacationLabel</vt:lpstr>
      <vt:lpstr>Abril!MonthName</vt:lpstr>
      <vt:lpstr>Agosto!MonthName</vt:lpstr>
      <vt:lpstr>Diciembre!MonthName</vt:lpstr>
      <vt:lpstr>Enero!MonthName</vt:lpstr>
      <vt:lpstr>Febrero!MonthName</vt:lpstr>
      <vt:lpstr>Julio!MonthName</vt:lpstr>
      <vt:lpstr>Junio!MonthName</vt:lpstr>
      <vt:lpstr>Marzo!MonthName</vt:lpstr>
      <vt:lpstr>Mayo!MonthName</vt:lpstr>
      <vt:lpstr>Noviembre!MonthName</vt:lpstr>
      <vt:lpstr>Octubre!MonthName</vt:lpstr>
      <vt:lpstr>Septiembre!MonthName</vt:lpstr>
      <vt:lpstr>Title1</vt:lpstr>
      <vt:lpstr>Title10</vt:lpstr>
      <vt:lpstr>Title11</vt:lpstr>
      <vt:lpstr>Title12</vt:lpstr>
      <vt:lpstr>Title2</vt:lpstr>
      <vt:lpstr>Title3</vt:lpstr>
      <vt:lpstr>Title4</vt:lpstr>
      <vt:lpstr>Title5</vt:lpstr>
      <vt:lpstr>Title6</vt:lpstr>
      <vt:lpstr>Title7</vt:lpstr>
      <vt:lpstr>Title8</vt:lpstr>
      <vt:lpstr>Title9</vt:lpstr>
      <vt:lpstr>Abril!Títulos_a_imprimir</vt:lpstr>
      <vt:lpstr>Agosto!Títulos_a_imprimir</vt:lpstr>
      <vt:lpstr>Diciembre!Títulos_a_imprimir</vt:lpstr>
      <vt:lpstr>Enero!Títulos_a_imprimir</vt:lpstr>
      <vt:lpstr>Febrero!Títulos_a_imprimir</vt:lpstr>
      <vt:lpstr>Julio!Títulos_a_imprimir</vt:lpstr>
      <vt:lpstr>Junio!Títulos_a_imprimir</vt:lpstr>
      <vt:lpstr>Marzo!Títulos_a_imprimir</vt:lpstr>
      <vt:lpstr>Mayo!Títulos_a_imprimir</vt:lpstr>
      <vt:lpstr>Noviembre!Títulos_a_imprimir</vt:lpstr>
      <vt:lpstr>Octubre!Títulos_a_imprimir</vt:lpstr>
      <vt:lpstr>Septiembre!Títulos_a_imprimir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2023-01-31T06:59:27Z</dcterms:created>
  <dcterms:modified xsi:type="dcterms:W3CDTF">2025-11-09T22:06:04Z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